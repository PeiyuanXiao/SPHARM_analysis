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PHARM_analysis\analysis\data\raw_data\"/>
    </mc:Choice>
  </mc:AlternateContent>
  <xr:revisionPtr revIDLastSave="0" documentId="13_ncr:1_{F4A33F5C-71E8-47AD-8758-2C3A26ED2EDB}" xr6:coauthVersionLast="47" xr6:coauthVersionMax="47" xr10:uidLastSave="{00000000-0000-0000-0000-000000000000}"/>
  <bookViews>
    <workbookView xWindow="0" yWindow="360" windowWidth="29040" windowHeight="15720" xr2:uid="{3882E913-04A3-4E48-AF26-32C4E934CC95}"/>
  </bookViews>
  <sheets>
    <sheet name="Sheet1" sheetId="1" r:id="rId1"/>
  </sheets>
  <definedNames>
    <definedName name="_xlnm._FilterDatabase" localSheetId="0" hidden="1">Sheet1!$A$1:$AN$56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42" i="1" l="1"/>
  <c r="AK42" i="1" s="1"/>
  <c r="AJ2" i="1"/>
  <c r="AK2" i="1" s="1"/>
  <c r="AJ7" i="1"/>
  <c r="AK7" i="1" s="1"/>
  <c r="AJ6" i="1"/>
  <c r="AK6" i="1" s="1"/>
  <c r="AJ5" i="1"/>
  <c r="AK5" i="1" s="1"/>
  <c r="AJ4" i="1"/>
  <c r="AK4" i="1" s="1"/>
  <c r="AJ3" i="1"/>
  <c r="AK3" i="1" s="1"/>
</calcChain>
</file>

<file path=xl/sharedStrings.xml><?xml version="1.0" encoding="utf-8"?>
<sst xmlns="http://schemas.openxmlformats.org/spreadsheetml/2006/main" count="798" uniqueCount="109">
  <si>
    <t>Layer</t>
    <phoneticPr fontId="2" type="noConversion"/>
  </si>
  <si>
    <t>Raw_mat</t>
    <phoneticPr fontId="2" type="noConversion"/>
  </si>
  <si>
    <t>weath_deg</t>
    <phoneticPr fontId="2" type="noConversion"/>
  </si>
  <si>
    <t>Type</t>
    <phoneticPr fontId="2" type="noConversion"/>
  </si>
  <si>
    <t>Blank</t>
  </si>
  <si>
    <t>Cortex</t>
    <phoneticPr fontId="2" type="noConversion"/>
  </si>
  <si>
    <t>Cleavage</t>
  </si>
  <si>
    <t>Length</t>
    <phoneticPr fontId="2" type="noConversion"/>
  </si>
  <si>
    <t>Width</t>
    <phoneticPr fontId="2" type="noConversion"/>
  </si>
  <si>
    <t>Thickness</t>
    <phoneticPr fontId="2" type="noConversion"/>
  </si>
  <si>
    <t>Mass</t>
    <phoneticPr fontId="2" type="noConversion"/>
  </si>
  <si>
    <t>Surf_area</t>
    <phoneticPr fontId="1" type="noConversion"/>
  </si>
  <si>
    <t>Volume</t>
    <phoneticPr fontId="1" type="noConversion"/>
  </si>
  <si>
    <t>Facial</t>
    <phoneticPr fontId="2" type="noConversion"/>
  </si>
  <si>
    <t>Fac_rel</t>
    <phoneticPr fontId="1" type="noConversion"/>
  </si>
  <si>
    <t>Butt</t>
    <phoneticPr fontId="2" type="noConversion"/>
  </si>
  <si>
    <t>Butt_rel</t>
    <phoneticPr fontId="2" type="noConversion"/>
  </si>
  <si>
    <t>N_scar_1</t>
    <phoneticPr fontId="1" type="noConversion"/>
  </si>
  <si>
    <t>Fac_type_1</t>
    <phoneticPr fontId="1" type="noConversion"/>
  </si>
  <si>
    <t>Axial_1</t>
    <phoneticPr fontId="1" type="noConversion"/>
  </si>
  <si>
    <t>Pol_1</t>
    <phoneticPr fontId="2" type="noConversion"/>
  </si>
  <si>
    <t>N_scar_2</t>
  </si>
  <si>
    <t>Fac_type_2</t>
  </si>
  <si>
    <t>Axial_2</t>
  </si>
  <si>
    <t>Pol_2</t>
  </si>
  <si>
    <t>N_scar_3</t>
  </si>
  <si>
    <t>Fac_type_3</t>
  </si>
  <si>
    <t>Axial_3</t>
  </si>
  <si>
    <t>Pol_3</t>
  </si>
  <si>
    <t>N_scar_4</t>
  </si>
  <si>
    <t>Fac_type_4</t>
  </si>
  <si>
    <t>Axial_4</t>
  </si>
  <si>
    <t>Pol_4</t>
  </si>
  <si>
    <t>Flake_ang</t>
    <phoneticPr fontId="1" type="noConversion"/>
  </si>
  <si>
    <t>N_scar_tot</t>
    <phoneticPr fontId="1" type="noConversion"/>
  </si>
  <si>
    <t>SDI</t>
    <phoneticPr fontId="1" type="noConversion"/>
  </si>
  <si>
    <t xml:space="preserve">chert </t>
  </si>
  <si>
    <t>unwthrd</t>
  </si>
  <si>
    <t>core</t>
    <phoneticPr fontId="1" type="noConversion"/>
  </si>
  <si>
    <t>cobble</t>
  </si>
  <si>
    <t>60-80%</t>
  </si>
  <si>
    <t>Unifacial</t>
  </si>
  <si>
    <t>Peripheral</t>
  </si>
  <si>
    <t>Wide</t>
  </si>
  <si>
    <t>Orthogonal_multidirection</t>
  </si>
  <si>
    <t>UnifacialUnidirectionAcutePartial</t>
  </si>
  <si>
    <t>peripheral_system</t>
    <phoneticPr fontId="1" type="noConversion"/>
  </si>
  <si>
    <t>chert</t>
  </si>
  <si>
    <t>chunk</t>
    <phoneticPr fontId="1" type="noConversion"/>
  </si>
  <si>
    <t>40-60%</t>
  </si>
  <si>
    <t>20-40%</t>
  </si>
  <si>
    <t>Trifacial</t>
  </si>
  <si>
    <t>Mixed</t>
  </si>
  <si>
    <t>Triple</t>
  </si>
  <si>
    <t>Unidirection</t>
  </si>
  <si>
    <t>Narrow</t>
  </si>
  <si>
    <t>Short</t>
  </si>
  <si>
    <t>Multifacial</t>
  </si>
  <si>
    <t>polar_system</t>
    <phoneticPr fontId="1" type="noConversion"/>
  </si>
  <si>
    <t>Bifacial</t>
  </si>
  <si>
    <t>Adjacent</t>
  </si>
  <si>
    <t>Single</t>
  </si>
  <si>
    <t>Orthogonal_bidirection</t>
  </si>
  <si>
    <t>BifacialAdjacentAc</t>
  </si>
  <si>
    <t>flake</t>
  </si>
  <si>
    <t>1-20%</t>
  </si>
  <si>
    <t>Double</t>
  </si>
  <si>
    <t>Opposite</t>
  </si>
  <si>
    <t>Opposite_bidirection</t>
  </si>
  <si>
    <t>Core-on-Flake</t>
  </si>
  <si>
    <t>chunk</t>
  </si>
  <si>
    <t>UnifacialSemi-CentriAcute</t>
  </si>
  <si>
    <t>Centripetal_multidirection</t>
  </si>
  <si>
    <t>UnifacialCentriAcute</t>
  </si>
  <si>
    <t>Multiple</t>
  </si>
  <si>
    <t>Long</t>
  </si>
  <si>
    <t>BifacialAdjacentAcAb</t>
  </si>
  <si>
    <t>sandstone</t>
  </si>
  <si>
    <t>sl_wthrd</t>
  </si>
  <si>
    <t>BifacialSeperateAc</t>
  </si>
  <si>
    <t>UnifacialUnidirectionAbruptTotal</t>
  </si>
  <si>
    <t>BifacialCentri</t>
  </si>
  <si>
    <t>BifacialSeperateAcAb</t>
  </si>
  <si>
    <t>md_wthrd</t>
  </si>
  <si>
    <t>NA</t>
    <phoneticPr fontId="1" type="noConversion"/>
  </si>
  <si>
    <t>UnifacialUnidirectionAcuteTotal</t>
  </si>
  <si>
    <t>UnifacialUnidirectionAbruptPartial</t>
  </si>
  <si>
    <t>UnifacialUnidirectionAcute</t>
  </si>
  <si>
    <t>80-99%</t>
  </si>
  <si>
    <t>Polyhedral</t>
  </si>
  <si>
    <t>sandstone</t>
    <phoneticPr fontId="1" type="noConversion"/>
  </si>
  <si>
    <t>pick</t>
    <phoneticPr fontId="1" type="noConversion"/>
  </si>
  <si>
    <t>flake</t>
    <phoneticPr fontId="1" type="noConversion"/>
  </si>
  <si>
    <t>cobble</t>
    <phoneticPr fontId="1" type="noConversion"/>
  </si>
  <si>
    <t>pick</t>
  </si>
  <si>
    <t>handaxe</t>
  </si>
  <si>
    <t>ID</t>
    <phoneticPr fontId="2" type="noConversion"/>
  </si>
  <si>
    <t>Core_type_Li</t>
    <phoneticPr fontId="1" type="noConversion"/>
  </si>
  <si>
    <t>LCT</t>
    <phoneticPr fontId="1" type="noConversion"/>
  </si>
  <si>
    <t>Bifacial_adjacent</t>
    <phoneticPr fontId="1" type="noConversion"/>
  </si>
  <si>
    <t>Core_type_Li_merged</t>
    <phoneticPr fontId="1" type="noConversion"/>
  </si>
  <si>
    <t>Unifacial_unidirection</t>
    <phoneticPr fontId="1" type="noConversion"/>
  </si>
  <si>
    <t>Core_on_flake</t>
    <phoneticPr fontId="1" type="noConversion"/>
  </si>
  <si>
    <t>Unifacial_semi_centripetal</t>
    <phoneticPr fontId="1" type="noConversion"/>
  </si>
  <si>
    <t>Unifacial_centripetal</t>
    <phoneticPr fontId="1" type="noConversion"/>
  </si>
  <si>
    <t>Bifacial_independent</t>
    <phoneticPr fontId="1" type="noConversion"/>
  </si>
  <si>
    <t>Bifacial_centripetal</t>
    <phoneticPr fontId="1" type="noConversion"/>
  </si>
  <si>
    <t>Pick</t>
    <phoneticPr fontId="1" type="noConversion"/>
  </si>
  <si>
    <t>Handaxe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</si>
</sst>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0000000_);[Red]\(0.000000000\)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Noto Sans SC Light"/>
      <family val="2"/>
      <charset val="134"/>
    </font>
    <font>
      <b/>
      <sz val="10"/>
      <color theme="1"/>
      <name val="Arial Unicode MS"/>
      <family val="2"/>
      <charset val="134"/>
    </font>
    <font>
      <sz val="10"/>
      <color theme="1"/>
      <name val="Arial Unicode MS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176" fontId="4" fillId="2" borderId="1" xfId="0" applyNumberFormat="1" applyFont="1" applyFill="1" applyBorder="1" applyAlignment="1">
      <alignment horizontal="left" vertical="center"/>
    </xf>
    <xf numFmtId="176" fontId="4" fillId="3" borderId="1" xfId="0" applyNumberFormat="1" applyFont="1" applyFill="1" applyBorder="1" applyAlignment="1">
      <alignment horizontal="left" vertical="center"/>
    </xf>
    <xf numFmtId="176" fontId="4" fillId="4" borderId="1" xfId="0" applyNumberFormat="1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left" vertical="center"/>
    </xf>
    <xf numFmtId="176" fontId="4" fillId="6" borderId="1" xfId="0" applyNumberFormat="1" applyFont="1" applyFill="1" applyBorder="1" applyAlignment="1">
      <alignment horizontal="left" vertical="center"/>
    </xf>
    <xf numFmtId="177" fontId="4" fillId="2" borderId="1" xfId="0" applyNumberFormat="1" applyFont="1" applyFill="1" applyBorder="1" applyAlignment="1">
      <alignment horizontal="left" vertical="center"/>
    </xf>
    <xf numFmtId="178" fontId="4" fillId="2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9" fontId="5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177" fontId="5" fillId="0" borderId="0" xfId="0" applyNumberFormat="1" applyFont="1" applyAlignment="1">
      <alignment horizontal="left" vertical="center"/>
    </xf>
    <xf numFmtId="178" fontId="5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FB0E-6E95-45BB-8590-9972EF5A6973}">
  <dimension ref="A1:AN56"/>
  <sheetViews>
    <sheetView tabSelected="1" topLeftCell="A19" zoomScale="85" zoomScaleNormal="85" workbookViewId="0">
      <selection activeCell="B33" sqref="B33"/>
    </sheetView>
  </sheetViews>
  <sheetFormatPr defaultRowHeight="14.25" x14ac:dyDescent="0.2"/>
  <cols>
    <col min="1" max="1" width="6.375" customWidth="1"/>
    <col min="2" max="2" width="6.5" customWidth="1"/>
    <col min="4" max="4" width="10" customWidth="1"/>
    <col min="7" max="12" width="9.125" bestFit="1" customWidth="1"/>
    <col min="13" max="13" width="10.625" bestFit="1" customWidth="1"/>
    <col min="14" max="14" width="11.75" bestFit="1" customWidth="1"/>
    <col min="19" max="34" width="10.625" customWidth="1"/>
    <col min="35" max="35" width="11.375" customWidth="1"/>
    <col min="36" max="36" width="11.5" customWidth="1"/>
    <col min="37" max="37" width="11.375" customWidth="1"/>
    <col min="38" max="38" width="27.125" customWidth="1"/>
    <col min="39" max="39" width="22.75" customWidth="1"/>
    <col min="40" max="40" width="16.125" customWidth="1"/>
  </cols>
  <sheetData>
    <row r="1" spans="1:40" s="1" customFormat="1" ht="15" customHeight="1" x14ac:dyDescent="0.2">
      <c r="A1" s="2" t="s">
        <v>0</v>
      </c>
      <c r="B1" s="3" t="s">
        <v>96</v>
      </c>
      <c r="C1" s="2" t="s">
        <v>1</v>
      </c>
      <c r="D1" s="2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5" t="s">
        <v>33</v>
      </c>
      <c r="AJ1" s="10" t="s">
        <v>34</v>
      </c>
      <c r="AK1" s="11" t="s">
        <v>35</v>
      </c>
      <c r="AL1" s="11" t="s">
        <v>97</v>
      </c>
      <c r="AM1" s="11" t="s">
        <v>100</v>
      </c>
      <c r="AN1" s="2"/>
    </row>
    <row r="2" spans="1:40" s="1" customFormat="1" ht="15" customHeight="1" x14ac:dyDescent="0.2">
      <c r="A2" s="12">
        <v>2</v>
      </c>
      <c r="B2" s="12">
        <v>489</v>
      </c>
      <c r="C2" s="12" t="s">
        <v>47</v>
      </c>
      <c r="D2" s="12" t="s">
        <v>37</v>
      </c>
      <c r="E2" s="12" t="s">
        <v>38</v>
      </c>
      <c r="F2" s="12" t="s">
        <v>39</v>
      </c>
      <c r="G2" s="13" t="s">
        <v>40</v>
      </c>
      <c r="H2" s="13" t="s">
        <v>50</v>
      </c>
      <c r="I2" s="14">
        <v>64.64</v>
      </c>
      <c r="J2" s="14">
        <v>54.18</v>
      </c>
      <c r="K2" s="14">
        <v>44.7</v>
      </c>
      <c r="L2" s="14">
        <v>165.1</v>
      </c>
      <c r="M2" s="14">
        <v>9795.6488000000008</v>
      </c>
      <c r="N2" s="14">
        <v>70794.399948999999</v>
      </c>
      <c r="O2" s="12" t="s">
        <v>59</v>
      </c>
      <c r="P2" s="12" t="s">
        <v>60</v>
      </c>
      <c r="Q2" s="12" t="s">
        <v>66</v>
      </c>
      <c r="R2" s="12" t="s">
        <v>60</v>
      </c>
      <c r="S2" s="12">
        <v>3</v>
      </c>
      <c r="T2" s="12" t="s">
        <v>55</v>
      </c>
      <c r="U2" s="12" t="s">
        <v>56</v>
      </c>
      <c r="V2" s="12" t="s">
        <v>54</v>
      </c>
      <c r="W2" s="12">
        <v>1</v>
      </c>
      <c r="X2" s="12" t="s">
        <v>43</v>
      </c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4">
        <v>76.239999999999995</v>
      </c>
      <c r="AJ2" s="15">
        <f t="shared" ref="AJ2" si="0">SUM(S2,W2,AA2,AE2)</f>
        <v>4</v>
      </c>
      <c r="AK2" s="16">
        <f t="shared" ref="AK2:AK7" si="1">AJ2/M2</f>
        <v>4.0834457029533352E-4</v>
      </c>
      <c r="AL2" s="16" t="s">
        <v>76</v>
      </c>
      <c r="AM2" s="12" t="s">
        <v>99</v>
      </c>
      <c r="AN2" s="12" t="s">
        <v>46</v>
      </c>
    </row>
    <row r="3" spans="1:40" ht="15" customHeight="1" x14ac:dyDescent="0.2">
      <c r="A3" s="12">
        <v>3</v>
      </c>
      <c r="B3" s="12">
        <v>55</v>
      </c>
      <c r="C3" s="12" t="s">
        <v>36</v>
      </c>
      <c r="D3" s="12" t="s">
        <v>37</v>
      </c>
      <c r="E3" s="12" t="s">
        <v>38</v>
      </c>
      <c r="F3" s="12" t="s">
        <v>39</v>
      </c>
      <c r="G3" s="13" t="s">
        <v>40</v>
      </c>
      <c r="H3" s="13">
        <v>0</v>
      </c>
      <c r="I3" s="14">
        <v>60.65</v>
      </c>
      <c r="J3" s="14">
        <v>45.79</v>
      </c>
      <c r="K3" s="14">
        <v>37.39</v>
      </c>
      <c r="L3" s="14">
        <v>59</v>
      </c>
      <c r="M3" s="14">
        <v>6671.2367999999997</v>
      </c>
      <c r="N3" s="14">
        <v>37922.680951000002</v>
      </c>
      <c r="O3" s="12" t="s">
        <v>41</v>
      </c>
      <c r="P3" s="12"/>
      <c r="Q3" s="12"/>
      <c r="R3" s="12" t="s">
        <v>42</v>
      </c>
      <c r="S3" s="12">
        <v>7</v>
      </c>
      <c r="T3" s="12" t="s">
        <v>43</v>
      </c>
      <c r="U3" s="12"/>
      <c r="V3" s="12" t="s">
        <v>44</v>
      </c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4">
        <v>63.25</v>
      </c>
      <c r="AJ3" s="15">
        <f t="shared" ref="AJ3:AJ7" si="2">SUM(S3,W3,AA3,AE3)</f>
        <v>7</v>
      </c>
      <c r="AK3" s="16">
        <f t="shared" si="1"/>
        <v>1.0492806970965264E-3</v>
      </c>
      <c r="AL3" s="16" t="s">
        <v>45</v>
      </c>
      <c r="AM3" s="12" t="s">
        <v>101</v>
      </c>
      <c r="AN3" s="12" t="s">
        <v>46</v>
      </c>
    </row>
    <row r="4" spans="1:40" ht="15" customHeight="1" x14ac:dyDescent="0.2">
      <c r="A4" s="12">
        <v>3</v>
      </c>
      <c r="B4" s="12">
        <v>155</v>
      </c>
      <c r="C4" s="12" t="s">
        <v>47</v>
      </c>
      <c r="D4" s="12" t="s">
        <v>37</v>
      </c>
      <c r="E4" s="12" t="s">
        <v>38</v>
      </c>
      <c r="F4" s="12" t="s">
        <v>48</v>
      </c>
      <c r="G4" s="13" t="s">
        <v>49</v>
      </c>
      <c r="H4" s="13" t="s">
        <v>50</v>
      </c>
      <c r="I4" s="14">
        <v>45.84</v>
      </c>
      <c r="J4" s="14">
        <v>47.88</v>
      </c>
      <c r="K4" s="14">
        <v>21.63</v>
      </c>
      <c r="L4" s="14">
        <v>65.02</v>
      </c>
      <c r="M4" s="14">
        <v>5335.1453000000001</v>
      </c>
      <c r="N4" s="14">
        <v>24898.712551000001</v>
      </c>
      <c r="O4" s="12" t="s">
        <v>51</v>
      </c>
      <c r="P4" s="12" t="s">
        <v>52</v>
      </c>
      <c r="Q4" s="12" t="s">
        <v>53</v>
      </c>
      <c r="R4" s="12" t="s">
        <v>52</v>
      </c>
      <c r="S4" s="12">
        <v>3</v>
      </c>
      <c r="T4" s="12" t="s">
        <v>43</v>
      </c>
      <c r="U4" s="12"/>
      <c r="V4" s="12" t="s">
        <v>54</v>
      </c>
      <c r="W4" s="12">
        <v>2</v>
      </c>
      <c r="X4" s="12" t="s">
        <v>55</v>
      </c>
      <c r="Y4" s="12" t="s">
        <v>56</v>
      </c>
      <c r="Z4" s="12" t="s">
        <v>54</v>
      </c>
      <c r="AA4" s="12">
        <v>1</v>
      </c>
      <c r="AB4" s="12" t="s">
        <v>55</v>
      </c>
      <c r="AC4" s="12" t="s">
        <v>56</v>
      </c>
      <c r="AD4" s="12"/>
      <c r="AE4" s="12"/>
      <c r="AF4" s="12"/>
      <c r="AG4" s="12"/>
      <c r="AH4" s="12"/>
      <c r="AI4" s="14">
        <v>78.7</v>
      </c>
      <c r="AJ4" s="15">
        <f t="shared" si="2"/>
        <v>6</v>
      </c>
      <c r="AK4" s="16">
        <f t="shared" si="1"/>
        <v>1.1246179180911904E-3</v>
      </c>
      <c r="AL4" s="16" t="s">
        <v>57</v>
      </c>
      <c r="AM4" s="16" t="s">
        <v>57</v>
      </c>
      <c r="AN4" s="12" t="s">
        <v>58</v>
      </c>
    </row>
    <row r="5" spans="1:40" ht="15" customHeight="1" x14ac:dyDescent="0.2">
      <c r="A5" s="12">
        <v>3</v>
      </c>
      <c r="B5" s="12">
        <v>188</v>
      </c>
      <c r="C5" s="12" t="s">
        <v>47</v>
      </c>
      <c r="D5" s="12" t="s">
        <v>37</v>
      </c>
      <c r="E5" s="12" t="s">
        <v>38</v>
      </c>
      <c r="F5" s="12" t="s">
        <v>39</v>
      </c>
      <c r="G5" s="13" t="s">
        <v>49</v>
      </c>
      <c r="H5" s="13">
        <v>0</v>
      </c>
      <c r="I5" s="14">
        <v>41.2</v>
      </c>
      <c r="J5" s="14">
        <v>44.27</v>
      </c>
      <c r="K5" s="14">
        <v>32.880000000000003</v>
      </c>
      <c r="L5" s="14">
        <v>43.1</v>
      </c>
      <c r="M5" s="14">
        <v>4267.6778999999997</v>
      </c>
      <c r="N5" s="14">
        <v>16473.768092999999</v>
      </c>
      <c r="O5" s="12" t="s">
        <v>59</v>
      </c>
      <c r="P5" s="12" t="s">
        <v>60</v>
      </c>
      <c r="Q5" s="12" t="s">
        <v>61</v>
      </c>
      <c r="R5" s="12"/>
      <c r="S5" s="12">
        <v>4</v>
      </c>
      <c r="T5" s="12" t="s">
        <v>55</v>
      </c>
      <c r="U5" s="12" t="s">
        <v>56</v>
      </c>
      <c r="V5" s="12" t="s">
        <v>54</v>
      </c>
      <c r="W5" s="12">
        <v>3</v>
      </c>
      <c r="X5" s="12" t="s">
        <v>55</v>
      </c>
      <c r="Y5" s="12" t="s">
        <v>56</v>
      </c>
      <c r="Z5" s="12" t="s">
        <v>54</v>
      </c>
      <c r="AA5" s="12"/>
      <c r="AB5" s="12"/>
      <c r="AC5" s="12"/>
      <c r="AD5" s="12"/>
      <c r="AE5" s="12"/>
      <c r="AF5" s="12"/>
      <c r="AG5" s="12"/>
      <c r="AH5" s="12"/>
      <c r="AI5" s="14">
        <v>57</v>
      </c>
      <c r="AJ5" s="15">
        <f t="shared" si="2"/>
        <v>7</v>
      </c>
      <c r="AK5" s="16">
        <f t="shared" si="1"/>
        <v>1.6402362511941215E-3</v>
      </c>
      <c r="AL5" s="16" t="s">
        <v>45</v>
      </c>
      <c r="AM5" s="12" t="s">
        <v>101</v>
      </c>
      <c r="AN5" s="12" t="s">
        <v>58</v>
      </c>
    </row>
    <row r="6" spans="1:40" ht="15" customHeight="1" x14ac:dyDescent="0.2">
      <c r="A6" s="12">
        <v>3</v>
      </c>
      <c r="B6" s="12">
        <v>434</v>
      </c>
      <c r="C6" s="12" t="s">
        <v>47</v>
      </c>
      <c r="D6" s="12" t="s">
        <v>37</v>
      </c>
      <c r="E6" s="12" t="s">
        <v>38</v>
      </c>
      <c r="F6" s="12" t="s">
        <v>39</v>
      </c>
      <c r="G6" s="13" t="s">
        <v>49</v>
      </c>
      <c r="H6" s="13">
        <v>0</v>
      </c>
      <c r="I6" s="14">
        <v>77.81</v>
      </c>
      <c r="J6" s="14">
        <v>64.87</v>
      </c>
      <c r="K6" s="14">
        <v>36.35</v>
      </c>
      <c r="L6" s="14">
        <v>165.5</v>
      </c>
      <c r="M6" s="14">
        <v>10686.141299999999</v>
      </c>
      <c r="N6" s="14">
        <v>70533.452365000005</v>
      </c>
      <c r="O6" s="12" t="s">
        <v>59</v>
      </c>
      <c r="P6" s="12"/>
      <c r="Q6" s="12"/>
      <c r="R6" s="12" t="s">
        <v>42</v>
      </c>
      <c r="S6" s="12">
        <v>6</v>
      </c>
      <c r="T6" s="12" t="s">
        <v>43</v>
      </c>
      <c r="U6" s="12"/>
      <c r="V6" s="12" t="s">
        <v>62</v>
      </c>
      <c r="W6" s="12">
        <v>1</v>
      </c>
      <c r="X6" s="12" t="s">
        <v>43</v>
      </c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4">
        <v>72.849999999999994</v>
      </c>
      <c r="AJ6" s="15">
        <f t="shared" si="2"/>
        <v>7</v>
      </c>
      <c r="AK6" s="16">
        <f t="shared" si="1"/>
        <v>6.5505403713873791E-4</v>
      </c>
      <c r="AL6" s="16" t="s">
        <v>63</v>
      </c>
      <c r="AM6" s="12" t="s">
        <v>99</v>
      </c>
      <c r="AN6" s="12" t="s">
        <v>46</v>
      </c>
    </row>
    <row r="7" spans="1:40" ht="15" customHeight="1" x14ac:dyDescent="0.2">
      <c r="A7" s="12">
        <v>3</v>
      </c>
      <c r="B7" s="12">
        <v>804</v>
      </c>
      <c r="C7" s="12" t="s">
        <v>47</v>
      </c>
      <c r="D7" s="12" t="s">
        <v>37</v>
      </c>
      <c r="E7" s="12" t="s">
        <v>38</v>
      </c>
      <c r="F7" s="12" t="s">
        <v>64</v>
      </c>
      <c r="G7" s="13" t="s">
        <v>49</v>
      </c>
      <c r="H7" s="13" t="s">
        <v>65</v>
      </c>
      <c r="I7" s="14">
        <v>37.06</v>
      </c>
      <c r="J7" s="14">
        <v>30.51</v>
      </c>
      <c r="K7" s="14">
        <v>26.25</v>
      </c>
      <c r="L7" s="14">
        <v>26.99</v>
      </c>
      <c r="M7" s="14">
        <v>2902.2098000000001</v>
      </c>
      <c r="N7" s="14">
        <v>10431.797487</v>
      </c>
      <c r="O7" s="12" t="s">
        <v>41</v>
      </c>
      <c r="P7" s="12"/>
      <c r="Q7" s="12" t="s">
        <v>66</v>
      </c>
      <c r="R7" s="12" t="s">
        <v>67</v>
      </c>
      <c r="S7" s="12">
        <v>6</v>
      </c>
      <c r="T7" s="12" t="s">
        <v>55</v>
      </c>
      <c r="U7" s="12" t="s">
        <v>56</v>
      </c>
      <c r="V7" s="12" t="s">
        <v>68</v>
      </c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4">
        <v>79.95</v>
      </c>
      <c r="AJ7" s="15">
        <f t="shared" si="2"/>
        <v>6</v>
      </c>
      <c r="AK7" s="16">
        <f t="shared" si="1"/>
        <v>2.0673901659349369E-3</v>
      </c>
      <c r="AL7" s="16" t="s">
        <v>69</v>
      </c>
      <c r="AM7" s="12" t="s">
        <v>102</v>
      </c>
      <c r="AN7" s="12" t="s">
        <v>58</v>
      </c>
    </row>
    <row r="8" spans="1:40" ht="15" customHeight="1" x14ac:dyDescent="0.2">
      <c r="A8" s="12">
        <v>3</v>
      </c>
      <c r="B8" s="12">
        <v>890</v>
      </c>
      <c r="C8" s="12" t="s">
        <v>47</v>
      </c>
      <c r="D8" s="12" t="s">
        <v>37</v>
      </c>
      <c r="E8" s="12" t="s">
        <v>38</v>
      </c>
      <c r="F8" s="12" t="s">
        <v>48</v>
      </c>
      <c r="G8" s="13" t="s">
        <v>49</v>
      </c>
      <c r="H8" s="13" t="s">
        <v>65</v>
      </c>
      <c r="I8" s="14">
        <v>93.37</v>
      </c>
      <c r="J8" s="14">
        <v>69.540000000000006</v>
      </c>
      <c r="K8" s="14">
        <v>50.39</v>
      </c>
      <c r="L8" s="14">
        <v>328.35</v>
      </c>
      <c r="M8" s="14">
        <v>15528.965899999999</v>
      </c>
      <c r="N8" s="14">
        <v>125132.855673</v>
      </c>
      <c r="O8" s="12" t="s">
        <v>59</v>
      </c>
      <c r="P8" s="12"/>
      <c r="Q8" s="12"/>
      <c r="R8" s="12" t="s">
        <v>42</v>
      </c>
      <c r="S8" s="12">
        <v>3</v>
      </c>
      <c r="T8" s="12" t="s">
        <v>43</v>
      </c>
      <c r="U8" s="12"/>
      <c r="V8" s="12" t="s">
        <v>54</v>
      </c>
      <c r="W8" s="12">
        <v>1</v>
      </c>
      <c r="X8" s="12" t="s">
        <v>43</v>
      </c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4">
        <v>65.05</v>
      </c>
      <c r="AJ8" s="15">
        <v>4</v>
      </c>
      <c r="AK8" s="16">
        <v>2.575831530417618E-4</v>
      </c>
      <c r="AL8" s="16" t="s">
        <v>63</v>
      </c>
      <c r="AM8" s="12" t="s">
        <v>99</v>
      </c>
      <c r="AN8" s="12" t="s">
        <v>46</v>
      </c>
    </row>
    <row r="9" spans="1:40" ht="15" customHeight="1" x14ac:dyDescent="0.2">
      <c r="A9" s="12">
        <v>3</v>
      </c>
      <c r="B9" s="12">
        <v>978</v>
      </c>
      <c r="C9" s="12" t="s">
        <v>47</v>
      </c>
      <c r="D9" s="12" t="s">
        <v>37</v>
      </c>
      <c r="E9" s="12" t="s">
        <v>38</v>
      </c>
      <c r="F9" s="12" t="s">
        <v>39</v>
      </c>
      <c r="G9" s="13" t="s">
        <v>49</v>
      </c>
      <c r="H9" s="13" t="s">
        <v>65</v>
      </c>
      <c r="I9" s="14">
        <v>47.94</v>
      </c>
      <c r="J9" s="14">
        <v>38.200000000000003</v>
      </c>
      <c r="K9" s="14">
        <v>38.229999999999997</v>
      </c>
      <c r="L9" s="14">
        <v>46.6</v>
      </c>
      <c r="M9" s="14">
        <v>4336.6328000000003</v>
      </c>
      <c r="N9" s="14">
        <v>17936.702485000002</v>
      </c>
      <c r="O9" s="12" t="s">
        <v>59</v>
      </c>
      <c r="P9" s="12"/>
      <c r="Q9" s="12"/>
      <c r="R9" s="12" t="s">
        <v>42</v>
      </c>
      <c r="S9" s="12">
        <v>5</v>
      </c>
      <c r="T9" s="12" t="s">
        <v>43</v>
      </c>
      <c r="U9" s="12"/>
      <c r="V9" s="12" t="s">
        <v>62</v>
      </c>
      <c r="W9" s="12">
        <v>2</v>
      </c>
      <c r="X9" s="12" t="s">
        <v>43</v>
      </c>
      <c r="Y9" s="12"/>
      <c r="Z9" s="12" t="s">
        <v>54</v>
      </c>
      <c r="AA9" s="12"/>
      <c r="AB9" s="12"/>
      <c r="AC9" s="12"/>
      <c r="AD9" s="12"/>
      <c r="AE9" s="12"/>
      <c r="AF9" s="12"/>
      <c r="AG9" s="12"/>
      <c r="AH9" s="12"/>
      <c r="AI9" s="14">
        <v>71.150000000000006</v>
      </c>
      <c r="AJ9" s="15">
        <v>7</v>
      </c>
      <c r="AK9" s="16">
        <v>1.6141555724985522E-3</v>
      </c>
      <c r="AL9" s="16" t="s">
        <v>71</v>
      </c>
      <c r="AM9" s="12" t="s">
        <v>103</v>
      </c>
      <c r="AN9" s="12" t="s">
        <v>46</v>
      </c>
    </row>
    <row r="10" spans="1:40" ht="15" customHeight="1" x14ac:dyDescent="0.2">
      <c r="A10" s="12">
        <v>3</v>
      </c>
      <c r="B10" s="12">
        <v>1066</v>
      </c>
      <c r="C10" s="12" t="s">
        <v>47</v>
      </c>
      <c r="D10" s="12" t="s">
        <v>37</v>
      </c>
      <c r="E10" s="12" t="s">
        <v>38</v>
      </c>
      <c r="F10" s="12" t="s">
        <v>39</v>
      </c>
      <c r="G10" s="13" t="s">
        <v>49</v>
      </c>
      <c r="H10" s="13" t="s">
        <v>65</v>
      </c>
      <c r="I10" s="14">
        <v>71.400000000000006</v>
      </c>
      <c r="J10" s="14">
        <v>53.55</v>
      </c>
      <c r="K10" s="14">
        <v>42.89</v>
      </c>
      <c r="L10" s="14">
        <v>172.7</v>
      </c>
      <c r="M10" s="14">
        <v>9888.9377999999997</v>
      </c>
      <c r="N10" s="14">
        <v>66226.581630999994</v>
      </c>
      <c r="O10" s="12" t="s">
        <v>51</v>
      </c>
      <c r="P10" s="12"/>
      <c r="Q10" s="12" t="s">
        <v>61</v>
      </c>
      <c r="R10" s="12"/>
      <c r="S10" s="12">
        <v>12</v>
      </c>
      <c r="T10" s="12" t="s">
        <v>55</v>
      </c>
      <c r="U10" s="12" t="s">
        <v>56</v>
      </c>
      <c r="V10" s="12" t="s">
        <v>54</v>
      </c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4">
        <v>76.900000000000006</v>
      </c>
      <c r="AJ10" s="15">
        <v>12</v>
      </c>
      <c r="AK10" s="16">
        <v>1.2134771441276535E-3</v>
      </c>
      <c r="AL10" s="16" t="s">
        <v>71</v>
      </c>
      <c r="AM10" s="12" t="s">
        <v>103</v>
      </c>
      <c r="AN10" s="12" t="s">
        <v>58</v>
      </c>
    </row>
    <row r="11" spans="1:40" ht="15" customHeight="1" x14ac:dyDescent="0.2">
      <c r="A11" s="12">
        <v>3</v>
      </c>
      <c r="B11" s="12">
        <v>1416</v>
      </c>
      <c r="C11" s="12" t="s">
        <v>47</v>
      </c>
      <c r="D11" s="12" t="s">
        <v>37</v>
      </c>
      <c r="E11" s="12" t="s">
        <v>38</v>
      </c>
      <c r="F11" s="12" t="s">
        <v>70</v>
      </c>
      <c r="G11" s="13" t="s">
        <v>49</v>
      </c>
      <c r="H11" s="13">
        <v>0</v>
      </c>
      <c r="I11" s="14">
        <v>60.82</v>
      </c>
      <c r="J11" s="14">
        <v>49.48</v>
      </c>
      <c r="K11" s="14">
        <v>21.14</v>
      </c>
      <c r="L11" s="14">
        <v>60.68</v>
      </c>
      <c r="M11" s="14">
        <v>5448.1814999999997</v>
      </c>
      <c r="N11" s="14">
        <v>23207.535816</v>
      </c>
      <c r="O11" s="12" t="s">
        <v>41</v>
      </c>
      <c r="P11" s="12"/>
      <c r="Q11" s="12"/>
      <c r="R11" s="12" t="s">
        <v>42</v>
      </c>
      <c r="S11" s="12">
        <v>11</v>
      </c>
      <c r="T11" s="12" t="s">
        <v>43</v>
      </c>
      <c r="U11" s="12"/>
      <c r="V11" s="12" t="s">
        <v>72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4">
        <v>54.95</v>
      </c>
      <c r="AJ11" s="15">
        <v>11</v>
      </c>
      <c r="AK11" s="16">
        <v>2.0190223104718519E-3</v>
      </c>
      <c r="AL11" s="16" t="s">
        <v>73</v>
      </c>
      <c r="AM11" s="12" t="s">
        <v>104</v>
      </c>
      <c r="AN11" s="12" t="s">
        <v>46</v>
      </c>
    </row>
    <row r="12" spans="1:40" ht="15" customHeight="1" x14ac:dyDescent="0.2">
      <c r="A12" s="12">
        <v>3</v>
      </c>
      <c r="B12" s="12">
        <v>1437</v>
      </c>
      <c r="C12" s="12" t="s">
        <v>47</v>
      </c>
      <c r="D12" s="12" t="s">
        <v>37</v>
      </c>
      <c r="E12" s="12" t="s">
        <v>38</v>
      </c>
      <c r="F12" s="12" t="s">
        <v>39</v>
      </c>
      <c r="G12" s="13" t="s">
        <v>50</v>
      </c>
      <c r="H12" s="13" t="s">
        <v>65</v>
      </c>
      <c r="I12" s="14">
        <v>41.94</v>
      </c>
      <c r="J12" s="14">
        <v>31.13</v>
      </c>
      <c r="K12" s="14">
        <v>25.53</v>
      </c>
      <c r="L12" s="14">
        <v>31.74</v>
      </c>
      <c r="M12" s="14">
        <v>3129.3791000000001</v>
      </c>
      <c r="N12" s="14">
        <v>12102.625404</v>
      </c>
      <c r="O12" s="12" t="s">
        <v>51</v>
      </c>
      <c r="P12" s="12" t="s">
        <v>60</v>
      </c>
      <c r="Q12" s="12" t="s">
        <v>74</v>
      </c>
      <c r="R12" s="12" t="s">
        <v>52</v>
      </c>
      <c r="S12" s="12">
        <v>3</v>
      </c>
      <c r="T12" s="12" t="s">
        <v>55</v>
      </c>
      <c r="U12" s="12" t="s">
        <v>75</v>
      </c>
      <c r="V12" s="12" t="s">
        <v>54</v>
      </c>
      <c r="W12" s="12">
        <v>4</v>
      </c>
      <c r="X12" s="12" t="s">
        <v>55</v>
      </c>
      <c r="Y12" s="12"/>
      <c r="Z12" s="12" t="s">
        <v>62</v>
      </c>
      <c r="AA12" s="12">
        <v>1</v>
      </c>
      <c r="AB12" s="12" t="s">
        <v>43</v>
      </c>
      <c r="AC12" s="12"/>
      <c r="AD12" s="12"/>
      <c r="AE12" s="12"/>
      <c r="AF12" s="12"/>
      <c r="AG12" s="12"/>
      <c r="AH12" s="12"/>
      <c r="AI12" s="14">
        <v>78</v>
      </c>
      <c r="AJ12" s="15">
        <v>8</v>
      </c>
      <c r="AK12" s="16">
        <v>2.5564176612542723E-3</v>
      </c>
      <c r="AL12" s="16" t="s">
        <v>57</v>
      </c>
      <c r="AM12" s="16" t="s">
        <v>57</v>
      </c>
      <c r="AN12" s="12" t="s">
        <v>58</v>
      </c>
    </row>
    <row r="13" spans="1:40" ht="15" customHeight="1" x14ac:dyDescent="0.2">
      <c r="A13" s="12">
        <v>3</v>
      </c>
      <c r="B13" s="12">
        <v>1492</v>
      </c>
      <c r="C13" s="12" t="s">
        <v>47</v>
      </c>
      <c r="D13" s="12" t="s">
        <v>37</v>
      </c>
      <c r="E13" s="12" t="s">
        <v>38</v>
      </c>
      <c r="F13" s="12" t="s">
        <v>70</v>
      </c>
      <c r="G13" s="13" t="s">
        <v>49</v>
      </c>
      <c r="H13" s="13">
        <v>0</v>
      </c>
      <c r="I13" s="14">
        <v>55.61</v>
      </c>
      <c r="J13" s="14">
        <v>48.12</v>
      </c>
      <c r="K13" s="14">
        <v>26.72</v>
      </c>
      <c r="L13" s="14">
        <v>87.01</v>
      </c>
      <c r="M13" s="14">
        <v>6676.7416000000003</v>
      </c>
      <c r="N13" s="14">
        <v>33180.016637000001</v>
      </c>
      <c r="O13" s="12" t="s">
        <v>41</v>
      </c>
      <c r="P13" s="12"/>
      <c r="Q13" s="12"/>
      <c r="R13" s="12" t="s">
        <v>42</v>
      </c>
      <c r="S13" s="12">
        <v>12</v>
      </c>
      <c r="T13" s="12" t="s">
        <v>43</v>
      </c>
      <c r="U13" s="12"/>
      <c r="V13" s="12" t="s">
        <v>72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4">
        <v>63.2</v>
      </c>
      <c r="AJ13" s="15">
        <v>12</v>
      </c>
      <c r="AK13" s="16">
        <v>1.7972838727201902E-3</v>
      </c>
      <c r="AL13" s="16" t="s">
        <v>73</v>
      </c>
      <c r="AM13" s="12" t="s">
        <v>104</v>
      </c>
      <c r="AN13" s="12" t="s">
        <v>46</v>
      </c>
    </row>
    <row r="14" spans="1:40" ht="15" customHeight="1" x14ac:dyDescent="0.2">
      <c r="A14" s="12">
        <v>4</v>
      </c>
      <c r="B14" s="12">
        <v>2165</v>
      </c>
      <c r="C14" s="12" t="s">
        <v>47</v>
      </c>
      <c r="D14" s="12" t="s">
        <v>37</v>
      </c>
      <c r="E14" s="12" t="s">
        <v>38</v>
      </c>
      <c r="F14" s="12" t="s">
        <v>64</v>
      </c>
      <c r="G14" s="13" t="s">
        <v>50</v>
      </c>
      <c r="H14" s="13">
        <v>0</v>
      </c>
      <c r="I14" s="14">
        <v>36.619999999999997</v>
      </c>
      <c r="J14" s="14">
        <v>35.46</v>
      </c>
      <c r="K14" s="14">
        <v>25.89</v>
      </c>
      <c r="L14" s="14">
        <v>27.04</v>
      </c>
      <c r="M14" s="14">
        <v>3012.7837</v>
      </c>
      <c r="N14" s="14">
        <v>10436.780347</v>
      </c>
      <c r="O14" s="12" t="s">
        <v>51</v>
      </c>
      <c r="P14" s="12"/>
      <c r="Q14" s="12" t="s">
        <v>53</v>
      </c>
      <c r="R14" s="12" t="s">
        <v>42</v>
      </c>
      <c r="S14" s="12">
        <v>2</v>
      </c>
      <c r="T14" s="12" t="s">
        <v>43</v>
      </c>
      <c r="U14" s="12"/>
      <c r="V14" s="12" t="s">
        <v>54</v>
      </c>
      <c r="W14" s="12">
        <v>2</v>
      </c>
      <c r="X14" s="12" t="s">
        <v>43</v>
      </c>
      <c r="Y14" s="12"/>
      <c r="Z14" s="12" t="s">
        <v>62</v>
      </c>
      <c r="AA14" s="12">
        <v>2</v>
      </c>
      <c r="AB14" s="12" t="s">
        <v>43</v>
      </c>
      <c r="AC14" s="12"/>
      <c r="AD14" s="12" t="s">
        <v>54</v>
      </c>
      <c r="AE14" s="12"/>
      <c r="AF14" s="12"/>
      <c r="AG14" s="12"/>
      <c r="AH14" s="12"/>
      <c r="AI14" s="14">
        <v>65.7</v>
      </c>
      <c r="AJ14" s="15">
        <v>6</v>
      </c>
      <c r="AK14" s="16">
        <v>1.9915136954571284E-3</v>
      </c>
      <c r="AL14" s="16" t="s">
        <v>69</v>
      </c>
      <c r="AM14" s="12" t="s">
        <v>102</v>
      </c>
      <c r="AN14" s="12" t="s">
        <v>46</v>
      </c>
    </row>
    <row r="15" spans="1:40" ht="15" customHeight="1" x14ac:dyDescent="0.2">
      <c r="A15" s="12">
        <v>4</v>
      </c>
      <c r="B15" s="12">
        <v>1884</v>
      </c>
      <c r="C15" s="12" t="s">
        <v>47</v>
      </c>
      <c r="D15" s="12" t="s">
        <v>37</v>
      </c>
      <c r="E15" s="12" t="s">
        <v>38</v>
      </c>
      <c r="F15" s="12" t="s">
        <v>70</v>
      </c>
      <c r="G15" s="13" t="s">
        <v>49</v>
      </c>
      <c r="H15" s="13" t="s">
        <v>50</v>
      </c>
      <c r="I15" s="14">
        <v>63.29</v>
      </c>
      <c r="J15" s="14">
        <v>41.45</v>
      </c>
      <c r="K15" s="14">
        <v>25.53</v>
      </c>
      <c r="L15" s="14">
        <v>64.27</v>
      </c>
      <c r="M15" s="14">
        <v>5588.7349000000004</v>
      </c>
      <c r="N15" s="14">
        <v>24455.586800000001</v>
      </c>
      <c r="O15" s="12" t="s">
        <v>41</v>
      </c>
      <c r="P15" s="12"/>
      <c r="Q15" s="12"/>
      <c r="R15" s="12" t="s">
        <v>42</v>
      </c>
      <c r="S15" s="12">
        <v>7</v>
      </c>
      <c r="T15" s="12" t="s">
        <v>43</v>
      </c>
      <c r="U15" s="12"/>
      <c r="V15" s="12" t="s">
        <v>44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4">
        <v>75.7</v>
      </c>
      <c r="AJ15" s="15">
        <v>7</v>
      </c>
      <c r="AK15" s="16">
        <v>1.2525195997398265E-3</v>
      </c>
      <c r="AL15" s="16" t="s">
        <v>73</v>
      </c>
      <c r="AM15" s="12" t="s">
        <v>104</v>
      </c>
      <c r="AN15" s="12" t="s">
        <v>46</v>
      </c>
    </row>
    <row r="16" spans="1:40" ht="15" customHeight="1" x14ac:dyDescent="0.2">
      <c r="A16" s="12">
        <v>4</v>
      </c>
      <c r="B16" s="12">
        <v>1951</v>
      </c>
      <c r="C16" s="12" t="s">
        <v>47</v>
      </c>
      <c r="D16" s="12" t="s">
        <v>37</v>
      </c>
      <c r="E16" s="12" t="s">
        <v>38</v>
      </c>
      <c r="F16" s="12" t="s">
        <v>70</v>
      </c>
      <c r="G16" s="13" t="s">
        <v>50</v>
      </c>
      <c r="H16" s="13">
        <v>0</v>
      </c>
      <c r="I16" s="14">
        <v>54.91</v>
      </c>
      <c r="J16" s="14">
        <v>45.16</v>
      </c>
      <c r="K16" s="14">
        <v>27.99</v>
      </c>
      <c r="L16" s="14">
        <v>64.900000000000006</v>
      </c>
      <c r="M16" s="14">
        <v>5445.1147000000001</v>
      </c>
      <c r="N16" s="14">
        <v>24733.894107</v>
      </c>
      <c r="O16" s="12" t="s">
        <v>41</v>
      </c>
      <c r="P16" s="12"/>
      <c r="Q16" s="12"/>
      <c r="R16" s="12" t="s">
        <v>42</v>
      </c>
      <c r="S16" s="12">
        <v>7</v>
      </c>
      <c r="T16" s="12" t="s">
        <v>43</v>
      </c>
      <c r="U16" s="12"/>
      <c r="V16" s="12" t="s">
        <v>62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4">
        <v>54</v>
      </c>
      <c r="AJ16" s="15">
        <v>7</v>
      </c>
      <c r="AK16" s="16">
        <v>1.2855560232734858E-3</v>
      </c>
      <c r="AL16" s="16" t="s">
        <v>71</v>
      </c>
      <c r="AM16" s="12" t="s">
        <v>103</v>
      </c>
      <c r="AN16" s="12" t="s">
        <v>46</v>
      </c>
    </row>
    <row r="17" spans="1:40" ht="15" customHeight="1" x14ac:dyDescent="0.2">
      <c r="A17" s="12">
        <v>4</v>
      </c>
      <c r="B17" s="12">
        <v>2001</v>
      </c>
      <c r="C17" s="12" t="s">
        <v>47</v>
      </c>
      <c r="D17" s="12" t="s">
        <v>37</v>
      </c>
      <c r="E17" s="12" t="s">
        <v>38</v>
      </c>
      <c r="F17" s="12" t="s">
        <v>64</v>
      </c>
      <c r="G17" s="13" t="s">
        <v>49</v>
      </c>
      <c r="H17" s="13">
        <v>0</v>
      </c>
      <c r="I17" s="14">
        <v>57.63</v>
      </c>
      <c r="J17" s="14">
        <v>47.07</v>
      </c>
      <c r="K17" s="14">
        <v>25.33</v>
      </c>
      <c r="L17" s="14">
        <v>39.68</v>
      </c>
      <c r="M17" s="14">
        <v>4162.6405999999997</v>
      </c>
      <c r="N17" s="14">
        <v>15277.318492</v>
      </c>
      <c r="O17" s="12" t="s">
        <v>41</v>
      </c>
      <c r="P17" s="12"/>
      <c r="Q17" s="12" t="s">
        <v>61</v>
      </c>
      <c r="R17" s="12"/>
      <c r="S17" s="12">
        <v>4</v>
      </c>
      <c r="T17" s="12" t="s">
        <v>55</v>
      </c>
      <c r="U17" s="12" t="s">
        <v>56</v>
      </c>
      <c r="V17" s="12" t="s">
        <v>54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4">
        <v>81.099999999999994</v>
      </c>
      <c r="AJ17" s="15">
        <v>4</v>
      </c>
      <c r="AK17" s="16">
        <v>9.6092850293152867E-4</v>
      </c>
      <c r="AL17" s="16" t="s">
        <v>69</v>
      </c>
      <c r="AM17" s="12" t="s">
        <v>102</v>
      </c>
      <c r="AN17" s="12" t="s">
        <v>58</v>
      </c>
    </row>
    <row r="18" spans="1:40" ht="15" customHeight="1" x14ac:dyDescent="0.2">
      <c r="A18" s="12">
        <v>4</v>
      </c>
      <c r="B18" s="12">
        <v>2004</v>
      </c>
      <c r="C18" s="12" t="s">
        <v>47</v>
      </c>
      <c r="D18" s="12" t="s">
        <v>37</v>
      </c>
      <c r="E18" s="12" t="s">
        <v>38</v>
      </c>
      <c r="F18" s="12" t="s">
        <v>48</v>
      </c>
      <c r="G18" s="13" t="s">
        <v>49</v>
      </c>
      <c r="H18" s="13" t="s">
        <v>65</v>
      </c>
      <c r="I18" s="14">
        <v>96.6</v>
      </c>
      <c r="J18" s="14">
        <v>94.76</v>
      </c>
      <c r="K18" s="14">
        <v>40.39</v>
      </c>
      <c r="L18" s="14">
        <v>374.1</v>
      </c>
      <c r="M18" s="14">
        <v>19418.643400000001</v>
      </c>
      <c r="N18" s="14">
        <v>142452.60858500001</v>
      </c>
      <c r="O18" s="12" t="s">
        <v>59</v>
      </c>
      <c r="P18" s="12"/>
      <c r="Q18" s="12"/>
      <c r="R18" s="12" t="s">
        <v>42</v>
      </c>
      <c r="S18" s="12">
        <v>7</v>
      </c>
      <c r="T18" s="12" t="s">
        <v>43</v>
      </c>
      <c r="U18" s="12"/>
      <c r="V18" s="12" t="s">
        <v>44</v>
      </c>
      <c r="W18" s="12">
        <v>2</v>
      </c>
      <c r="X18" s="12" t="s">
        <v>43</v>
      </c>
      <c r="Y18" s="12"/>
      <c r="Z18" s="12" t="s">
        <v>54</v>
      </c>
      <c r="AA18" s="12"/>
      <c r="AB18" s="12"/>
      <c r="AC18" s="12"/>
      <c r="AD18" s="12"/>
      <c r="AE18" s="12"/>
      <c r="AF18" s="12"/>
      <c r="AG18" s="12"/>
      <c r="AH18" s="12"/>
      <c r="AI18" s="14">
        <v>65.650000000000006</v>
      </c>
      <c r="AJ18" s="15">
        <v>9</v>
      </c>
      <c r="AK18" s="16">
        <v>4.6347212905717189E-4</v>
      </c>
      <c r="AL18" s="16" t="s">
        <v>71</v>
      </c>
      <c r="AM18" s="12" t="s">
        <v>103</v>
      </c>
      <c r="AN18" s="12" t="s">
        <v>46</v>
      </c>
    </row>
    <row r="19" spans="1:40" ht="15" customHeight="1" x14ac:dyDescent="0.2">
      <c r="A19" s="12">
        <v>4</v>
      </c>
      <c r="B19" s="12">
        <v>2164</v>
      </c>
      <c r="C19" s="12" t="s">
        <v>47</v>
      </c>
      <c r="D19" s="12" t="s">
        <v>37</v>
      </c>
      <c r="E19" s="12" t="s">
        <v>38</v>
      </c>
      <c r="F19" s="12" t="s">
        <v>39</v>
      </c>
      <c r="G19" s="13" t="s">
        <v>49</v>
      </c>
      <c r="H19" s="13" t="s">
        <v>65</v>
      </c>
      <c r="I19" s="14">
        <v>62.61</v>
      </c>
      <c r="J19" s="14">
        <v>59.77</v>
      </c>
      <c r="K19" s="14">
        <v>36.049999999999997</v>
      </c>
      <c r="L19" s="14">
        <v>182.08</v>
      </c>
      <c r="M19" s="14">
        <v>10204.0429</v>
      </c>
      <c r="N19" s="14">
        <v>70011.445961000005</v>
      </c>
      <c r="O19" s="12" t="s">
        <v>41</v>
      </c>
      <c r="P19" s="12"/>
      <c r="Q19" s="12" t="s">
        <v>66</v>
      </c>
      <c r="R19" s="12" t="s">
        <v>67</v>
      </c>
      <c r="S19" s="12">
        <v>6</v>
      </c>
      <c r="T19" s="12" t="s">
        <v>43</v>
      </c>
      <c r="U19" s="12"/>
      <c r="V19" s="12" t="s">
        <v>68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4">
        <v>81.05</v>
      </c>
      <c r="AJ19" s="15">
        <v>6</v>
      </c>
      <c r="AK19" s="16">
        <v>5.8800223193887198E-4</v>
      </c>
      <c r="AL19" s="16" t="s">
        <v>73</v>
      </c>
      <c r="AM19" s="12" t="s">
        <v>104</v>
      </c>
      <c r="AN19" s="12" t="s">
        <v>58</v>
      </c>
    </row>
    <row r="20" spans="1:40" ht="15" customHeight="1" x14ac:dyDescent="0.2">
      <c r="A20" s="12">
        <v>4</v>
      </c>
      <c r="B20" s="12">
        <v>2182</v>
      </c>
      <c r="C20" s="12" t="s">
        <v>77</v>
      </c>
      <c r="D20" s="12" t="s">
        <v>78</v>
      </c>
      <c r="E20" s="12" t="s">
        <v>38</v>
      </c>
      <c r="F20" s="12" t="s">
        <v>64</v>
      </c>
      <c r="G20" s="13" t="s">
        <v>49</v>
      </c>
      <c r="H20" s="13" t="s">
        <v>65</v>
      </c>
      <c r="I20" s="14">
        <v>84.08</v>
      </c>
      <c r="J20" s="14">
        <v>69.48</v>
      </c>
      <c r="K20" s="14">
        <v>47.01</v>
      </c>
      <c r="L20" s="14">
        <v>289.35000000000002</v>
      </c>
      <c r="M20" s="14">
        <v>14775.5715</v>
      </c>
      <c r="N20" s="14">
        <v>116056.97401200001</v>
      </c>
      <c r="O20" s="12" t="s">
        <v>51</v>
      </c>
      <c r="P20" s="12"/>
      <c r="Q20" s="12" t="s">
        <v>61</v>
      </c>
      <c r="R20" s="12"/>
      <c r="S20" s="12">
        <v>5</v>
      </c>
      <c r="T20" s="12" t="s">
        <v>55</v>
      </c>
      <c r="U20" s="12" t="s">
        <v>56</v>
      </c>
      <c r="V20" s="12" t="s">
        <v>54</v>
      </c>
      <c r="W20" s="12">
        <v>6</v>
      </c>
      <c r="X20" s="12" t="s">
        <v>55</v>
      </c>
      <c r="Y20" s="12" t="s">
        <v>56</v>
      </c>
      <c r="Z20" s="12" t="s">
        <v>54</v>
      </c>
      <c r="AA20" s="12">
        <v>2</v>
      </c>
      <c r="AB20" s="12" t="s">
        <v>55</v>
      </c>
      <c r="AC20" s="12" t="s">
        <v>56</v>
      </c>
      <c r="AD20" s="12" t="s">
        <v>54</v>
      </c>
      <c r="AE20" s="12"/>
      <c r="AF20" s="12"/>
      <c r="AG20" s="12"/>
      <c r="AH20" s="12"/>
      <c r="AI20" s="14">
        <v>84.35</v>
      </c>
      <c r="AJ20" s="15">
        <v>13</v>
      </c>
      <c r="AK20" s="16">
        <v>8.7983060418339826E-4</v>
      </c>
      <c r="AL20" s="16" t="s">
        <v>69</v>
      </c>
      <c r="AM20" s="12" t="s">
        <v>102</v>
      </c>
      <c r="AN20" s="12" t="s">
        <v>58</v>
      </c>
    </row>
    <row r="21" spans="1:40" ht="15" customHeight="1" x14ac:dyDescent="0.2">
      <c r="A21" s="12">
        <v>4</v>
      </c>
      <c r="B21" s="12">
        <v>3971</v>
      </c>
      <c r="C21" s="12" t="s">
        <v>47</v>
      </c>
      <c r="D21" s="12" t="s">
        <v>37</v>
      </c>
      <c r="E21" s="12" t="s">
        <v>38</v>
      </c>
      <c r="F21" s="12" t="s">
        <v>39</v>
      </c>
      <c r="G21" s="13" t="s">
        <v>65</v>
      </c>
      <c r="H21" s="13" t="s">
        <v>49</v>
      </c>
      <c r="I21" s="14">
        <v>93.61</v>
      </c>
      <c r="J21" s="14">
        <v>58.69</v>
      </c>
      <c r="K21" s="14">
        <v>35.4</v>
      </c>
      <c r="L21" s="14">
        <v>201.54</v>
      </c>
      <c r="M21" s="14">
        <v>13519.9871</v>
      </c>
      <c r="N21" s="14">
        <v>77769.989115999997</v>
      </c>
      <c r="O21" s="12" t="s">
        <v>57</v>
      </c>
      <c r="P21" s="12" t="s">
        <v>52</v>
      </c>
      <c r="Q21" s="12" t="s">
        <v>66</v>
      </c>
      <c r="R21" s="12" t="s">
        <v>60</v>
      </c>
      <c r="S21" s="12">
        <v>3</v>
      </c>
      <c r="T21" s="12" t="s">
        <v>55</v>
      </c>
      <c r="U21" s="12" t="s">
        <v>56</v>
      </c>
      <c r="V21" s="12" t="s">
        <v>54</v>
      </c>
      <c r="W21" s="12">
        <v>2</v>
      </c>
      <c r="X21" s="12" t="s">
        <v>55</v>
      </c>
      <c r="Y21" s="12" t="s">
        <v>56</v>
      </c>
      <c r="Z21" s="12" t="s">
        <v>54</v>
      </c>
      <c r="AA21" s="12">
        <v>1</v>
      </c>
      <c r="AB21" s="12" t="s">
        <v>55</v>
      </c>
      <c r="AC21" s="12" t="s">
        <v>56</v>
      </c>
      <c r="AD21" s="12" t="s">
        <v>54</v>
      </c>
      <c r="AE21" s="12">
        <v>1</v>
      </c>
      <c r="AF21" s="12" t="s">
        <v>43</v>
      </c>
      <c r="AG21" s="12"/>
      <c r="AH21" s="12"/>
      <c r="AI21" s="14">
        <v>73.900000000000006</v>
      </c>
      <c r="AJ21" s="15">
        <v>7</v>
      </c>
      <c r="AK21" s="16">
        <v>5.1775197329885026E-4</v>
      </c>
      <c r="AL21" s="16" t="s">
        <v>79</v>
      </c>
      <c r="AM21" s="12" t="s">
        <v>105</v>
      </c>
      <c r="AN21" s="12" t="s">
        <v>58</v>
      </c>
    </row>
    <row r="22" spans="1:40" ht="15" customHeight="1" x14ac:dyDescent="0.2">
      <c r="A22" s="12">
        <v>4</v>
      </c>
      <c r="B22" s="12">
        <v>4386</v>
      </c>
      <c r="C22" s="12" t="s">
        <v>47</v>
      </c>
      <c r="D22" s="12" t="s">
        <v>37</v>
      </c>
      <c r="E22" s="12" t="s">
        <v>38</v>
      </c>
      <c r="F22" s="12" t="s">
        <v>70</v>
      </c>
      <c r="G22" s="13" t="s">
        <v>50</v>
      </c>
      <c r="H22" s="13" t="s">
        <v>65</v>
      </c>
      <c r="I22" s="14">
        <v>53.67</v>
      </c>
      <c r="J22" s="14">
        <v>46.25</v>
      </c>
      <c r="K22" s="14">
        <v>29.67</v>
      </c>
      <c r="L22" s="14">
        <v>62.05</v>
      </c>
      <c r="M22" s="14">
        <v>5236.3433999999997</v>
      </c>
      <c r="N22" s="14">
        <v>24195.721385000001</v>
      </c>
      <c r="O22" s="12" t="s">
        <v>59</v>
      </c>
      <c r="P22" s="12"/>
      <c r="Q22" s="12"/>
      <c r="R22" s="12" t="s">
        <v>42</v>
      </c>
      <c r="S22" s="12">
        <v>5</v>
      </c>
      <c r="T22" s="12" t="s">
        <v>43</v>
      </c>
      <c r="U22" s="12"/>
      <c r="V22" s="12" t="s">
        <v>62</v>
      </c>
      <c r="W22" s="12">
        <v>2</v>
      </c>
      <c r="X22" s="12" t="s">
        <v>43</v>
      </c>
      <c r="Y22" s="12"/>
      <c r="Z22" s="12" t="s">
        <v>54</v>
      </c>
      <c r="AA22" s="12"/>
      <c r="AB22" s="12"/>
      <c r="AC22" s="12"/>
      <c r="AD22" s="12"/>
      <c r="AE22" s="12"/>
      <c r="AF22" s="12"/>
      <c r="AG22" s="12"/>
      <c r="AH22" s="12"/>
      <c r="AI22" s="14">
        <v>65.099999999999994</v>
      </c>
      <c r="AJ22" s="15">
        <v>7</v>
      </c>
      <c r="AK22" s="16">
        <v>1.3368107217719908E-3</v>
      </c>
      <c r="AL22" s="16" t="s">
        <v>73</v>
      </c>
      <c r="AM22" s="12" t="s">
        <v>104</v>
      </c>
      <c r="AN22" s="12" t="s">
        <v>46</v>
      </c>
    </row>
    <row r="23" spans="1:40" ht="15" customHeight="1" x14ac:dyDescent="0.2">
      <c r="A23" s="12">
        <v>4</v>
      </c>
      <c r="B23" s="12">
        <v>4460</v>
      </c>
      <c r="C23" s="12" t="s">
        <v>47</v>
      </c>
      <c r="D23" s="12" t="s">
        <v>37</v>
      </c>
      <c r="E23" s="12" t="s">
        <v>38</v>
      </c>
      <c r="F23" s="12" t="s">
        <v>39</v>
      </c>
      <c r="G23" s="13" t="s">
        <v>65</v>
      </c>
      <c r="H23" s="13" t="s">
        <v>50</v>
      </c>
      <c r="I23" s="14">
        <v>72.08</v>
      </c>
      <c r="J23" s="14">
        <v>57.37</v>
      </c>
      <c r="K23" s="14">
        <v>47.06</v>
      </c>
      <c r="L23" s="14">
        <v>240.52</v>
      </c>
      <c r="M23" s="14">
        <v>12182.153899999999</v>
      </c>
      <c r="N23" s="14">
        <v>91685.750675999996</v>
      </c>
      <c r="O23" s="12" t="s">
        <v>51</v>
      </c>
      <c r="P23" s="12" t="s">
        <v>52</v>
      </c>
      <c r="Q23" s="12" t="s">
        <v>61</v>
      </c>
      <c r="R23" s="12"/>
      <c r="S23" s="12">
        <v>4</v>
      </c>
      <c r="T23" s="12" t="s">
        <v>55</v>
      </c>
      <c r="U23" s="12" t="s">
        <v>56</v>
      </c>
      <c r="V23" s="12" t="s">
        <v>54</v>
      </c>
      <c r="W23" s="12">
        <v>3</v>
      </c>
      <c r="X23" s="12" t="s">
        <v>55</v>
      </c>
      <c r="Y23" s="12" t="s">
        <v>56</v>
      </c>
      <c r="Z23" s="12" t="s">
        <v>54</v>
      </c>
      <c r="AA23" s="12">
        <v>1</v>
      </c>
      <c r="AB23" s="12" t="s">
        <v>55</v>
      </c>
      <c r="AC23" s="12" t="s">
        <v>56</v>
      </c>
      <c r="AD23" s="12"/>
      <c r="AE23" s="12"/>
      <c r="AF23" s="12"/>
      <c r="AG23" s="12"/>
      <c r="AH23" s="12"/>
      <c r="AI23" s="14">
        <v>83.5</v>
      </c>
      <c r="AJ23" s="15">
        <v>8</v>
      </c>
      <c r="AK23" s="16">
        <v>6.5669831999085157E-4</v>
      </c>
      <c r="AL23" s="16" t="s">
        <v>80</v>
      </c>
      <c r="AM23" s="12" t="s">
        <v>101</v>
      </c>
      <c r="AN23" s="12" t="s">
        <v>58</v>
      </c>
    </row>
    <row r="24" spans="1:40" ht="15" customHeight="1" x14ac:dyDescent="0.2">
      <c r="A24" s="12">
        <v>4</v>
      </c>
      <c r="B24" s="12">
        <v>4604</v>
      </c>
      <c r="C24" s="12" t="s">
        <v>47</v>
      </c>
      <c r="D24" s="12" t="s">
        <v>37</v>
      </c>
      <c r="E24" s="12" t="s">
        <v>38</v>
      </c>
      <c r="F24" s="12" t="s">
        <v>70</v>
      </c>
      <c r="G24" s="13">
        <v>0</v>
      </c>
      <c r="H24" s="13" t="s">
        <v>50</v>
      </c>
      <c r="I24" s="14">
        <v>83.18</v>
      </c>
      <c r="J24" s="14">
        <v>65.97</v>
      </c>
      <c r="K24" s="14">
        <v>50.69</v>
      </c>
      <c r="L24" s="14">
        <v>366.01</v>
      </c>
      <c r="M24" s="14">
        <v>16030.5419</v>
      </c>
      <c r="N24" s="14">
        <v>139782.58379500001</v>
      </c>
      <c r="O24" s="12" t="s">
        <v>59</v>
      </c>
      <c r="P24" s="12"/>
      <c r="Q24" s="12"/>
      <c r="R24" s="12" t="s">
        <v>42</v>
      </c>
      <c r="S24" s="12">
        <v>15</v>
      </c>
      <c r="T24" s="12" t="s">
        <v>43</v>
      </c>
      <c r="U24" s="12"/>
      <c r="V24" s="12" t="s">
        <v>72</v>
      </c>
      <c r="W24" s="12">
        <v>11</v>
      </c>
      <c r="X24" s="12" t="s">
        <v>43</v>
      </c>
      <c r="Y24" s="12"/>
      <c r="Z24" s="12" t="s">
        <v>72</v>
      </c>
      <c r="AA24" s="12"/>
      <c r="AB24" s="12"/>
      <c r="AC24" s="12"/>
      <c r="AD24" s="12"/>
      <c r="AE24" s="12"/>
      <c r="AF24" s="12"/>
      <c r="AG24" s="12"/>
      <c r="AH24" s="12"/>
      <c r="AI24" s="14">
        <v>76.5</v>
      </c>
      <c r="AJ24" s="15">
        <v>26</v>
      </c>
      <c r="AK24" s="16">
        <v>1.6219039981424457E-3</v>
      </c>
      <c r="AL24" s="16" t="s">
        <v>81</v>
      </c>
      <c r="AM24" s="12" t="s">
        <v>106</v>
      </c>
      <c r="AN24" s="12" t="s">
        <v>46</v>
      </c>
    </row>
    <row r="25" spans="1:40" ht="15" customHeight="1" x14ac:dyDescent="0.2">
      <c r="A25" s="12">
        <v>3</v>
      </c>
      <c r="B25" s="12">
        <v>303</v>
      </c>
      <c r="C25" s="12" t="s">
        <v>47</v>
      </c>
      <c r="D25" s="12" t="s">
        <v>37</v>
      </c>
      <c r="E25" s="12" t="s">
        <v>38</v>
      </c>
      <c r="F25" s="12" t="s">
        <v>48</v>
      </c>
      <c r="G25" s="13" t="s">
        <v>65</v>
      </c>
      <c r="H25" s="13" t="s">
        <v>50</v>
      </c>
      <c r="I25" s="14">
        <v>51.58</v>
      </c>
      <c r="J25" s="14">
        <v>39.22</v>
      </c>
      <c r="K25" s="14">
        <v>21.19</v>
      </c>
      <c r="L25" s="14">
        <v>54.1</v>
      </c>
      <c r="M25" s="14">
        <v>4846.2479999999996</v>
      </c>
      <c r="N25" s="14">
        <v>21060.730920999998</v>
      </c>
      <c r="O25" s="12" t="s">
        <v>59</v>
      </c>
      <c r="P25" s="12"/>
      <c r="Q25" s="12"/>
      <c r="R25" s="12" t="s">
        <v>42</v>
      </c>
      <c r="S25" s="12">
        <v>6</v>
      </c>
      <c r="T25" s="12" t="s">
        <v>43</v>
      </c>
      <c r="U25" s="12"/>
      <c r="V25" s="12" t="s">
        <v>54</v>
      </c>
      <c r="W25" s="12">
        <v>4</v>
      </c>
      <c r="X25" s="12" t="s">
        <v>43</v>
      </c>
      <c r="Y25" s="12"/>
      <c r="Z25" s="12" t="s">
        <v>54</v>
      </c>
      <c r="AA25" s="12"/>
      <c r="AB25" s="12"/>
      <c r="AC25" s="12"/>
      <c r="AD25" s="12"/>
      <c r="AE25" s="12"/>
      <c r="AF25" s="12"/>
      <c r="AG25" s="12"/>
      <c r="AH25" s="12"/>
      <c r="AI25" s="14"/>
      <c r="AJ25" s="15">
        <v>10</v>
      </c>
      <c r="AK25" s="16">
        <v>2.0634519735680057E-3</v>
      </c>
      <c r="AL25" s="16" t="s">
        <v>82</v>
      </c>
      <c r="AM25" s="12" t="s">
        <v>105</v>
      </c>
      <c r="AN25" s="12"/>
    </row>
    <row r="26" spans="1:40" ht="15" customHeight="1" x14ac:dyDescent="0.2">
      <c r="A26" s="12">
        <v>3</v>
      </c>
      <c r="B26" s="12">
        <v>1163</v>
      </c>
      <c r="C26" s="12" t="s">
        <v>77</v>
      </c>
      <c r="D26" s="12" t="s">
        <v>83</v>
      </c>
      <c r="E26" s="12" t="s">
        <v>38</v>
      </c>
      <c r="F26" s="12" t="s">
        <v>39</v>
      </c>
      <c r="G26" s="13"/>
      <c r="H26" s="13"/>
      <c r="I26" s="14">
        <v>94.42</v>
      </c>
      <c r="J26" s="14">
        <v>79.81</v>
      </c>
      <c r="K26" s="14">
        <v>79.73</v>
      </c>
      <c r="L26" s="14">
        <v>760.9</v>
      </c>
      <c r="M26" s="14"/>
      <c r="N26" s="14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4"/>
      <c r="AJ26" s="15">
        <v>0</v>
      </c>
      <c r="AK26" s="16"/>
      <c r="AL26" s="16" t="s">
        <v>57</v>
      </c>
      <c r="AM26" s="16" t="s">
        <v>57</v>
      </c>
      <c r="AN26" s="12"/>
    </row>
    <row r="27" spans="1:40" ht="15" customHeight="1" x14ac:dyDescent="0.2">
      <c r="A27" s="12">
        <v>3</v>
      </c>
      <c r="B27" s="12">
        <v>1677</v>
      </c>
      <c r="C27" s="12" t="s">
        <v>47</v>
      </c>
      <c r="D27" s="12" t="s">
        <v>37</v>
      </c>
      <c r="E27" s="12" t="s">
        <v>38</v>
      </c>
      <c r="F27" s="12" t="s">
        <v>39</v>
      </c>
      <c r="G27" s="13" t="s">
        <v>49</v>
      </c>
      <c r="H27" s="13" t="s">
        <v>65</v>
      </c>
      <c r="I27" s="14">
        <v>76.16</v>
      </c>
      <c r="J27" s="14">
        <v>62.47</v>
      </c>
      <c r="K27" s="14">
        <v>35.26</v>
      </c>
      <c r="L27" s="14">
        <v>177.2</v>
      </c>
      <c r="M27" s="14">
        <v>10502.611500000001</v>
      </c>
      <c r="N27" s="14">
        <v>67666.220503000004</v>
      </c>
      <c r="O27" s="12" t="s">
        <v>41</v>
      </c>
      <c r="P27" s="12"/>
      <c r="Q27" s="12" t="s">
        <v>61</v>
      </c>
      <c r="R27" s="12"/>
      <c r="S27" s="12">
        <v>8</v>
      </c>
      <c r="T27" s="12" t="s">
        <v>55</v>
      </c>
      <c r="U27" s="12" t="s">
        <v>56</v>
      </c>
      <c r="V27" s="12" t="s">
        <v>54</v>
      </c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4"/>
      <c r="AJ27" s="15">
        <v>8</v>
      </c>
      <c r="AK27" s="16"/>
      <c r="AL27" s="16" t="s">
        <v>45</v>
      </c>
      <c r="AM27" s="12" t="s">
        <v>101</v>
      </c>
      <c r="AN27" s="12"/>
    </row>
    <row r="28" spans="1:40" ht="15" customHeight="1" x14ac:dyDescent="0.2">
      <c r="A28" s="12">
        <v>4</v>
      </c>
      <c r="B28" s="12">
        <v>2213</v>
      </c>
      <c r="C28" s="12" t="s">
        <v>47</v>
      </c>
      <c r="D28" s="12" t="s">
        <v>37</v>
      </c>
      <c r="E28" s="12" t="s">
        <v>38</v>
      </c>
      <c r="F28" s="12" t="s">
        <v>64</v>
      </c>
      <c r="G28" s="13" t="s">
        <v>50</v>
      </c>
      <c r="H28" s="13">
        <v>0</v>
      </c>
      <c r="I28" s="14">
        <v>67.349999999999994</v>
      </c>
      <c r="J28" s="14">
        <v>64.05</v>
      </c>
      <c r="K28" s="14">
        <v>29.08</v>
      </c>
      <c r="L28" s="14">
        <v>167.6</v>
      </c>
      <c r="M28" s="14">
        <v>8147.3078999999998</v>
      </c>
      <c r="N28" s="14">
        <v>41795.493968000002</v>
      </c>
      <c r="O28" s="12" t="s">
        <v>59</v>
      </c>
      <c r="P28" s="12"/>
      <c r="Q28" s="12"/>
      <c r="R28" s="12" t="s">
        <v>42</v>
      </c>
      <c r="S28" s="12">
        <v>5</v>
      </c>
      <c r="T28" s="12" t="s">
        <v>43</v>
      </c>
      <c r="U28" s="12"/>
      <c r="V28" s="12" t="s">
        <v>72</v>
      </c>
      <c r="W28" s="12">
        <v>2</v>
      </c>
      <c r="X28" s="12" t="s">
        <v>43</v>
      </c>
      <c r="Y28" s="12"/>
      <c r="Z28" s="12" t="s">
        <v>54</v>
      </c>
      <c r="AA28" s="12"/>
      <c r="AB28" s="12"/>
      <c r="AC28" s="12"/>
      <c r="AD28" s="12"/>
      <c r="AE28" s="12"/>
      <c r="AF28" s="12"/>
      <c r="AG28" s="12"/>
      <c r="AH28" s="12"/>
      <c r="AI28" s="14">
        <v>56.09</v>
      </c>
      <c r="AJ28" s="15">
        <v>7</v>
      </c>
      <c r="AK28" s="16">
        <v>8.5917950885347049E-4</v>
      </c>
      <c r="AL28" s="16" t="s">
        <v>69</v>
      </c>
      <c r="AM28" s="12" t="s">
        <v>102</v>
      </c>
      <c r="AN28" s="12" t="s">
        <v>46</v>
      </c>
    </row>
    <row r="29" spans="1:40" ht="15" customHeight="1" x14ac:dyDescent="0.2">
      <c r="A29" s="12">
        <v>4</v>
      </c>
      <c r="B29" s="12">
        <v>2527</v>
      </c>
      <c r="C29" s="12" t="s">
        <v>47</v>
      </c>
      <c r="D29" s="12" t="s">
        <v>37</v>
      </c>
      <c r="E29" s="12" t="s">
        <v>38</v>
      </c>
      <c r="F29" s="12" t="s">
        <v>84</v>
      </c>
      <c r="G29" s="13">
        <v>0</v>
      </c>
      <c r="H29" s="13">
        <v>0</v>
      </c>
      <c r="I29" s="14">
        <v>42.7</v>
      </c>
      <c r="J29" s="14">
        <v>31.29</v>
      </c>
      <c r="K29" s="14">
        <v>30.39</v>
      </c>
      <c r="L29" s="14">
        <v>33.4</v>
      </c>
      <c r="M29" s="14">
        <v>3738.4506000000001</v>
      </c>
      <c r="N29" s="14">
        <v>13311.317784000001</v>
      </c>
      <c r="O29" s="12" t="s">
        <v>41</v>
      </c>
      <c r="P29" s="12"/>
      <c r="Q29" s="12" t="s">
        <v>61</v>
      </c>
      <c r="R29" s="12"/>
      <c r="S29" s="12">
        <v>7</v>
      </c>
      <c r="T29" s="12" t="s">
        <v>55</v>
      </c>
      <c r="U29" s="12" t="s">
        <v>75</v>
      </c>
      <c r="V29" s="12" t="s">
        <v>54</v>
      </c>
      <c r="W29" s="12">
        <v>1</v>
      </c>
      <c r="X29" s="12" t="s">
        <v>43</v>
      </c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4"/>
      <c r="AJ29" s="15">
        <v>8</v>
      </c>
      <c r="AK29" s="16">
        <v>2.1399239567322353E-3</v>
      </c>
      <c r="AL29" s="16" t="s">
        <v>85</v>
      </c>
      <c r="AM29" s="12" t="s">
        <v>101</v>
      </c>
      <c r="AN29" s="12" t="s">
        <v>58</v>
      </c>
    </row>
    <row r="30" spans="1:40" ht="15" customHeight="1" x14ac:dyDescent="0.2">
      <c r="A30" s="12">
        <v>4</v>
      </c>
      <c r="B30" s="12">
        <v>2733</v>
      </c>
      <c r="C30" s="12" t="s">
        <v>47</v>
      </c>
      <c r="D30" s="12" t="s">
        <v>37</v>
      </c>
      <c r="E30" s="12" t="s">
        <v>38</v>
      </c>
      <c r="F30" s="12" t="s">
        <v>48</v>
      </c>
      <c r="G30" s="13" t="s">
        <v>50</v>
      </c>
      <c r="H30" s="13" t="s">
        <v>65</v>
      </c>
      <c r="I30" s="14">
        <v>80.010000000000005</v>
      </c>
      <c r="J30" s="14">
        <v>53.14</v>
      </c>
      <c r="K30" s="14">
        <v>27.41</v>
      </c>
      <c r="L30" s="14">
        <v>102.2</v>
      </c>
      <c r="M30" s="14">
        <v>7924.8116</v>
      </c>
      <c r="N30" s="14">
        <v>39905.237064000001</v>
      </c>
      <c r="O30" s="12" t="s">
        <v>59</v>
      </c>
      <c r="P30" s="12"/>
      <c r="Q30" s="12"/>
      <c r="R30" s="12" t="s">
        <v>42</v>
      </c>
      <c r="S30" s="12">
        <v>5</v>
      </c>
      <c r="T30" s="12" t="s">
        <v>43</v>
      </c>
      <c r="U30" s="12"/>
      <c r="V30" s="12" t="s">
        <v>62</v>
      </c>
      <c r="W30" s="12">
        <v>2</v>
      </c>
      <c r="X30" s="12" t="s">
        <v>43</v>
      </c>
      <c r="Y30" s="12"/>
      <c r="Z30" s="12" t="s">
        <v>54</v>
      </c>
      <c r="AA30" s="12"/>
      <c r="AB30" s="12"/>
      <c r="AC30" s="12"/>
      <c r="AD30" s="12"/>
      <c r="AE30" s="12"/>
      <c r="AF30" s="12"/>
      <c r="AG30" s="12"/>
      <c r="AH30" s="12"/>
      <c r="AI30" s="14"/>
      <c r="AJ30" s="15">
        <v>7</v>
      </c>
      <c r="AK30" s="16"/>
      <c r="AL30" s="16" t="s">
        <v>82</v>
      </c>
      <c r="AM30" s="12" t="s">
        <v>105</v>
      </c>
      <c r="AN30" s="12" t="s">
        <v>46</v>
      </c>
    </row>
    <row r="31" spans="1:40" ht="15" customHeight="1" x14ac:dyDescent="0.2">
      <c r="A31" s="12">
        <v>4</v>
      </c>
      <c r="B31" s="12">
        <v>2818</v>
      </c>
      <c r="C31" s="12" t="s">
        <v>77</v>
      </c>
      <c r="D31" s="12" t="s">
        <v>78</v>
      </c>
      <c r="E31" s="12" t="s">
        <v>38</v>
      </c>
      <c r="F31" s="12" t="s">
        <v>39</v>
      </c>
      <c r="G31" s="13"/>
      <c r="H31" s="13"/>
      <c r="I31" s="14">
        <v>120.09</v>
      </c>
      <c r="J31" s="14">
        <v>94.61</v>
      </c>
      <c r="K31" s="14">
        <v>71.67</v>
      </c>
      <c r="L31" s="14">
        <v>956.8</v>
      </c>
      <c r="M31" s="14"/>
      <c r="N31" s="14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4"/>
      <c r="AJ31" s="15">
        <v>0</v>
      </c>
      <c r="AK31" s="16"/>
      <c r="AL31" s="16" t="s">
        <v>57</v>
      </c>
      <c r="AM31" s="16" t="s">
        <v>57</v>
      </c>
      <c r="AN31" s="12"/>
    </row>
    <row r="32" spans="1:40" ht="15" customHeight="1" x14ac:dyDescent="0.2">
      <c r="A32" s="12">
        <v>4</v>
      </c>
      <c r="B32" s="12">
        <v>3095</v>
      </c>
      <c r="C32" s="12" t="s">
        <v>47</v>
      </c>
      <c r="D32" s="12" t="s">
        <v>37</v>
      </c>
      <c r="E32" s="12" t="s">
        <v>38</v>
      </c>
      <c r="F32" s="12" t="s">
        <v>39</v>
      </c>
      <c r="G32" s="13" t="s">
        <v>40</v>
      </c>
      <c r="H32" s="13">
        <v>0</v>
      </c>
      <c r="I32" s="14">
        <v>43.71</v>
      </c>
      <c r="J32" s="14">
        <v>30.57</v>
      </c>
      <c r="K32" s="14">
        <v>18.010000000000002</v>
      </c>
      <c r="L32" s="14">
        <v>32</v>
      </c>
      <c r="M32" s="14">
        <v>3258.6241</v>
      </c>
      <c r="N32" s="14">
        <v>12369.622599</v>
      </c>
      <c r="O32" s="12" t="s">
        <v>59</v>
      </c>
      <c r="P32" s="12"/>
      <c r="Q32" s="12"/>
      <c r="R32" s="12" t="s">
        <v>42</v>
      </c>
      <c r="S32" s="12">
        <v>5</v>
      </c>
      <c r="T32" s="12" t="s">
        <v>43</v>
      </c>
      <c r="U32" s="12"/>
      <c r="V32" s="12" t="s">
        <v>62</v>
      </c>
      <c r="W32" s="12">
        <v>1</v>
      </c>
      <c r="X32" s="12" t="s">
        <v>43</v>
      </c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4"/>
      <c r="AJ32" s="15">
        <v>6</v>
      </c>
      <c r="AK32" s="16">
        <v>1.8412679142709341E-3</v>
      </c>
      <c r="AL32" s="16" t="s">
        <v>63</v>
      </c>
      <c r="AM32" s="12" t="s">
        <v>99</v>
      </c>
      <c r="AN32" s="12"/>
    </row>
    <row r="33" spans="1:40" ht="15" customHeight="1" x14ac:dyDescent="0.2">
      <c r="A33" s="12">
        <v>4</v>
      </c>
      <c r="B33" s="12">
        <v>3155</v>
      </c>
      <c r="C33" s="12" t="s">
        <v>47</v>
      </c>
      <c r="D33" s="12" t="s">
        <v>37</v>
      </c>
      <c r="E33" s="12" t="s">
        <v>38</v>
      </c>
      <c r="F33" s="12" t="s">
        <v>39</v>
      </c>
      <c r="G33" s="13" t="s">
        <v>49</v>
      </c>
      <c r="H33" s="13">
        <v>0</v>
      </c>
      <c r="I33" s="14">
        <v>74.34</v>
      </c>
      <c r="J33" s="14">
        <v>68.38</v>
      </c>
      <c r="K33" s="14">
        <v>57.48</v>
      </c>
      <c r="L33" s="14">
        <v>314.7</v>
      </c>
      <c r="M33" s="14">
        <v>13790.013300000001</v>
      </c>
      <c r="N33" s="14">
        <v>126865.287962</v>
      </c>
      <c r="O33" s="12" t="s">
        <v>59</v>
      </c>
      <c r="P33" s="12" t="s">
        <v>60</v>
      </c>
      <c r="Q33" s="12" t="s">
        <v>66</v>
      </c>
      <c r="R33" s="12" t="s">
        <v>60</v>
      </c>
      <c r="S33" s="12">
        <v>7</v>
      </c>
      <c r="T33" s="12" t="s">
        <v>55</v>
      </c>
      <c r="U33" s="12" t="s">
        <v>56</v>
      </c>
      <c r="V33" s="12" t="s">
        <v>54</v>
      </c>
      <c r="W33" s="12">
        <v>2</v>
      </c>
      <c r="X33" s="12" t="s">
        <v>43</v>
      </c>
      <c r="Y33" s="12"/>
      <c r="Z33" s="12" t="s">
        <v>54</v>
      </c>
      <c r="AA33" s="12"/>
      <c r="AB33" s="12"/>
      <c r="AC33" s="12"/>
      <c r="AD33" s="12"/>
      <c r="AE33" s="12"/>
      <c r="AF33" s="12"/>
      <c r="AG33" s="12"/>
      <c r="AH33" s="12"/>
      <c r="AI33" s="14"/>
      <c r="AJ33" s="15">
        <v>9</v>
      </c>
      <c r="AK33" s="16">
        <v>6.5264621608450511E-4</v>
      </c>
      <c r="AL33" s="16" t="s">
        <v>86</v>
      </c>
      <c r="AM33" s="12" t="s">
        <v>101</v>
      </c>
      <c r="AN33" s="12"/>
    </row>
    <row r="34" spans="1:40" ht="15" customHeight="1" x14ac:dyDescent="0.2">
      <c r="A34" s="12">
        <v>4</v>
      </c>
      <c r="B34" s="12">
        <v>3192</v>
      </c>
      <c r="C34" s="12" t="s">
        <v>47</v>
      </c>
      <c r="D34" s="12" t="s">
        <v>37</v>
      </c>
      <c r="E34" s="12" t="s">
        <v>38</v>
      </c>
      <c r="F34" s="12" t="s">
        <v>39</v>
      </c>
      <c r="G34" s="13" t="s">
        <v>50</v>
      </c>
      <c r="H34" s="13" t="s">
        <v>65</v>
      </c>
      <c r="I34" s="14">
        <v>53.71</v>
      </c>
      <c r="J34" s="14">
        <v>44.61</v>
      </c>
      <c r="K34" s="14">
        <v>35.520000000000003</v>
      </c>
      <c r="L34" s="14">
        <v>67.900000000000006</v>
      </c>
      <c r="M34" s="14">
        <v>6727.4300999999996</v>
      </c>
      <c r="N34" s="14">
        <v>33996.120723</v>
      </c>
      <c r="O34" s="12" t="s">
        <v>59</v>
      </c>
      <c r="P34" s="12" t="s">
        <v>60</v>
      </c>
      <c r="Q34" s="12" t="s">
        <v>66</v>
      </c>
      <c r="R34" s="12" t="s">
        <v>60</v>
      </c>
      <c r="S34" s="12">
        <v>4</v>
      </c>
      <c r="T34" s="12" t="s">
        <v>55</v>
      </c>
      <c r="U34" s="12" t="s">
        <v>75</v>
      </c>
      <c r="V34" s="12" t="s">
        <v>54</v>
      </c>
      <c r="W34" s="12">
        <v>2</v>
      </c>
      <c r="X34" s="12" t="s">
        <v>43</v>
      </c>
      <c r="Y34" s="12"/>
      <c r="Z34" s="12" t="s">
        <v>62</v>
      </c>
      <c r="AA34" s="12"/>
      <c r="AB34" s="12"/>
      <c r="AC34" s="12"/>
      <c r="AD34" s="12"/>
      <c r="AE34" s="12"/>
      <c r="AF34" s="12"/>
      <c r="AG34" s="12"/>
      <c r="AH34" s="12"/>
      <c r="AI34" s="14"/>
      <c r="AJ34" s="15">
        <v>6</v>
      </c>
      <c r="AK34" s="16">
        <v>8.9187102813598912E-4</v>
      </c>
      <c r="AL34" s="16" t="s">
        <v>57</v>
      </c>
      <c r="AM34" s="16" t="s">
        <v>57</v>
      </c>
      <c r="AN34" s="12"/>
    </row>
    <row r="35" spans="1:40" ht="15" customHeight="1" x14ac:dyDescent="0.2">
      <c r="A35" s="12">
        <v>4</v>
      </c>
      <c r="B35" s="12">
        <v>3283</v>
      </c>
      <c r="C35" s="12" t="s">
        <v>77</v>
      </c>
      <c r="D35" s="12" t="s">
        <v>78</v>
      </c>
      <c r="E35" s="12" t="s">
        <v>38</v>
      </c>
      <c r="F35" s="12" t="s">
        <v>39</v>
      </c>
      <c r="G35" s="13" t="s">
        <v>49</v>
      </c>
      <c r="H35" s="13">
        <v>0</v>
      </c>
      <c r="I35" s="14">
        <v>118.84</v>
      </c>
      <c r="J35" s="14">
        <v>89.49</v>
      </c>
      <c r="K35" s="14">
        <v>74.260000000000005</v>
      </c>
      <c r="L35" s="14">
        <v>1254.5</v>
      </c>
      <c r="M35" s="14"/>
      <c r="N35" s="14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4"/>
      <c r="AJ35" s="15">
        <v>0</v>
      </c>
      <c r="AK35" s="16"/>
      <c r="AL35" s="16" t="s">
        <v>57</v>
      </c>
      <c r="AM35" s="16" t="s">
        <v>57</v>
      </c>
      <c r="AN35" s="12"/>
    </row>
    <row r="36" spans="1:40" ht="15" customHeight="1" x14ac:dyDescent="0.2">
      <c r="A36" s="12">
        <v>4</v>
      </c>
      <c r="B36" s="12">
        <v>3342</v>
      </c>
      <c r="C36" s="12" t="s">
        <v>47</v>
      </c>
      <c r="D36" s="12" t="s">
        <v>37</v>
      </c>
      <c r="E36" s="12" t="s">
        <v>38</v>
      </c>
      <c r="F36" s="12" t="s">
        <v>48</v>
      </c>
      <c r="G36" s="13" t="s">
        <v>65</v>
      </c>
      <c r="H36" s="13" t="s">
        <v>50</v>
      </c>
      <c r="I36" s="14">
        <v>83.66</v>
      </c>
      <c r="J36" s="14">
        <v>57.66</v>
      </c>
      <c r="K36" s="14">
        <v>39.61</v>
      </c>
      <c r="L36" s="14">
        <v>136.6</v>
      </c>
      <c r="M36" s="14">
        <v>9156.3310999999994</v>
      </c>
      <c r="N36" s="14">
        <v>51959.528996000001</v>
      </c>
      <c r="O36" s="12" t="s">
        <v>59</v>
      </c>
      <c r="P36" s="12"/>
      <c r="Q36" s="12"/>
      <c r="R36" s="12" t="s">
        <v>42</v>
      </c>
      <c r="S36" s="12">
        <v>4</v>
      </c>
      <c r="T36" s="12" t="s">
        <v>43</v>
      </c>
      <c r="U36" s="12"/>
      <c r="V36" s="12" t="s">
        <v>72</v>
      </c>
      <c r="W36" s="12">
        <v>4</v>
      </c>
      <c r="X36" s="12" t="s">
        <v>43</v>
      </c>
      <c r="Y36" s="12"/>
      <c r="Z36" s="12" t="s">
        <v>72</v>
      </c>
      <c r="AA36" s="12"/>
      <c r="AB36" s="12"/>
      <c r="AC36" s="12"/>
      <c r="AD36" s="12"/>
      <c r="AE36" s="12"/>
      <c r="AF36" s="12"/>
      <c r="AG36" s="12"/>
      <c r="AH36" s="12"/>
      <c r="AI36" s="14"/>
      <c r="AJ36" s="15">
        <v>8</v>
      </c>
      <c r="AK36" s="16"/>
      <c r="AL36" s="16" t="s">
        <v>57</v>
      </c>
      <c r="AM36" s="16" t="s">
        <v>57</v>
      </c>
      <c r="AN36" s="12"/>
    </row>
    <row r="37" spans="1:40" ht="15" customHeight="1" x14ac:dyDescent="0.2">
      <c r="A37" s="12">
        <v>4</v>
      </c>
      <c r="B37" s="12">
        <v>3506</v>
      </c>
      <c r="C37" s="12" t="s">
        <v>47</v>
      </c>
      <c r="D37" s="12" t="s">
        <v>37</v>
      </c>
      <c r="E37" s="12" t="s">
        <v>38</v>
      </c>
      <c r="F37" s="12" t="s">
        <v>39</v>
      </c>
      <c r="G37" s="13" t="s">
        <v>65</v>
      </c>
      <c r="H37" s="13">
        <v>0</v>
      </c>
      <c r="I37" s="14">
        <v>50.62</v>
      </c>
      <c r="J37" s="14">
        <v>35.9</v>
      </c>
      <c r="K37" s="14">
        <v>32.5</v>
      </c>
      <c r="L37" s="14">
        <v>59.6</v>
      </c>
      <c r="M37" s="14">
        <v>5021.2736999999997</v>
      </c>
      <c r="N37" s="14">
        <v>23016.793839999998</v>
      </c>
      <c r="O37" s="12" t="s">
        <v>57</v>
      </c>
      <c r="P37" s="12" t="s">
        <v>52</v>
      </c>
      <c r="Q37" s="12" t="s">
        <v>74</v>
      </c>
      <c r="R37" s="12" t="s">
        <v>52</v>
      </c>
      <c r="S37" s="12">
        <v>16</v>
      </c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4"/>
      <c r="AJ37" s="15">
        <v>16</v>
      </c>
      <c r="AK37" s="16">
        <v>3.1864425155712982E-3</v>
      </c>
      <c r="AL37" s="16" t="s">
        <v>57</v>
      </c>
      <c r="AM37" s="16" t="s">
        <v>57</v>
      </c>
      <c r="AN37" s="12"/>
    </row>
    <row r="38" spans="1:40" ht="15" customHeight="1" x14ac:dyDescent="0.2">
      <c r="A38" s="12">
        <v>4</v>
      </c>
      <c r="B38" s="12">
        <v>3821</v>
      </c>
      <c r="C38" s="12" t="s">
        <v>47</v>
      </c>
      <c r="D38" s="12" t="s">
        <v>37</v>
      </c>
      <c r="E38" s="12" t="s">
        <v>38</v>
      </c>
      <c r="F38" s="12" t="s">
        <v>39</v>
      </c>
      <c r="G38" s="13" t="s">
        <v>65</v>
      </c>
      <c r="H38" s="13" t="s">
        <v>50</v>
      </c>
      <c r="I38" s="14">
        <v>40.64</v>
      </c>
      <c r="J38" s="14">
        <v>33.909999999999997</v>
      </c>
      <c r="K38" s="14">
        <v>27.03</v>
      </c>
      <c r="L38" s="14">
        <v>32.799999999999997</v>
      </c>
      <c r="M38" s="14">
        <v>3429.9052999999999</v>
      </c>
      <c r="N38" s="14">
        <v>12584.811711</v>
      </c>
      <c r="O38" s="12" t="s">
        <v>51</v>
      </c>
      <c r="P38" s="12"/>
      <c r="Q38" s="12" t="s">
        <v>74</v>
      </c>
      <c r="R38" s="12"/>
      <c r="S38" s="12">
        <v>6</v>
      </c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4"/>
      <c r="AJ38" s="15">
        <v>6</v>
      </c>
      <c r="AK38" s="16">
        <v>1.7493194345628144E-3</v>
      </c>
      <c r="AL38" s="16" t="s">
        <v>57</v>
      </c>
      <c r="AM38" s="16" t="s">
        <v>57</v>
      </c>
      <c r="AN38" s="12"/>
    </row>
    <row r="39" spans="1:40" ht="15" customHeight="1" x14ac:dyDescent="0.2">
      <c r="A39" s="12">
        <v>4</v>
      </c>
      <c r="B39" s="12">
        <v>4262</v>
      </c>
      <c r="C39" s="12" t="s">
        <v>47</v>
      </c>
      <c r="D39" s="12" t="s">
        <v>37</v>
      </c>
      <c r="E39" s="12" t="s">
        <v>38</v>
      </c>
      <c r="F39" s="12" t="s">
        <v>48</v>
      </c>
      <c r="G39" s="13" t="s">
        <v>50</v>
      </c>
      <c r="H39" s="13" t="s">
        <v>65</v>
      </c>
      <c r="I39" s="14">
        <v>72.36</v>
      </c>
      <c r="J39" s="14">
        <v>48.66</v>
      </c>
      <c r="K39" s="14">
        <v>34.47</v>
      </c>
      <c r="L39" s="14">
        <v>62.2</v>
      </c>
      <c r="M39" s="14"/>
      <c r="N39" s="14"/>
      <c r="O39" s="12" t="s">
        <v>59</v>
      </c>
      <c r="P39" s="12" t="s">
        <v>60</v>
      </c>
      <c r="Q39" s="12" t="s">
        <v>53</v>
      </c>
      <c r="R39" s="12" t="s">
        <v>52</v>
      </c>
      <c r="S39" s="12">
        <v>4</v>
      </c>
      <c r="T39" s="12" t="s">
        <v>43</v>
      </c>
      <c r="U39" s="12"/>
      <c r="V39" s="12" t="s">
        <v>62</v>
      </c>
      <c r="W39" s="12">
        <v>3</v>
      </c>
      <c r="X39" s="12" t="s">
        <v>55</v>
      </c>
      <c r="Y39" s="12" t="s">
        <v>56</v>
      </c>
      <c r="Z39" s="12" t="s">
        <v>54</v>
      </c>
      <c r="AA39" s="12"/>
      <c r="AB39" s="12"/>
      <c r="AC39" s="12"/>
      <c r="AD39" s="12"/>
      <c r="AE39" s="12"/>
      <c r="AF39" s="12"/>
      <c r="AG39" s="12"/>
      <c r="AH39" s="12"/>
      <c r="AI39" s="14">
        <v>58.36</v>
      </c>
      <c r="AJ39" s="15">
        <v>7</v>
      </c>
      <c r="AK39" s="16"/>
      <c r="AL39" s="16" t="s">
        <v>63</v>
      </c>
      <c r="AM39" s="12" t="s">
        <v>99</v>
      </c>
      <c r="AN39" s="12" t="s">
        <v>46</v>
      </c>
    </row>
    <row r="40" spans="1:40" ht="15" customHeight="1" x14ac:dyDescent="0.2">
      <c r="A40" s="12">
        <v>4</v>
      </c>
      <c r="B40" s="12">
        <v>4583</v>
      </c>
      <c r="C40" s="12" t="s">
        <v>47</v>
      </c>
      <c r="D40" s="12" t="s">
        <v>37</v>
      </c>
      <c r="E40" s="12" t="s">
        <v>38</v>
      </c>
      <c r="F40" s="12" t="s">
        <v>39</v>
      </c>
      <c r="G40" s="13" t="s">
        <v>49</v>
      </c>
      <c r="H40" s="13">
        <v>0</v>
      </c>
      <c r="I40" s="14">
        <v>47.95</v>
      </c>
      <c r="J40" s="14">
        <v>41.8</v>
      </c>
      <c r="K40" s="14">
        <v>25.63</v>
      </c>
      <c r="L40" s="14">
        <v>61.5</v>
      </c>
      <c r="M40" s="14">
        <v>4918.9009999999998</v>
      </c>
      <c r="N40" s="14">
        <v>23883.548787</v>
      </c>
      <c r="O40" s="12" t="s">
        <v>41</v>
      </c>
      <c r="P40" s="12"/>
      <c r="Q40" s="12"/>
      <c r="R40" s="12" t="s">
        <v>42</v>
      </c>
      <c r="S40" s="12">
        <v>7</v>
      </c>
      <c r="T40" s="12" t="s">
        <v>43</v>
      </c>
      <c r="U40" s="12"/>
      <c r="V40" s="12" t="s">
        <v>62</v>
      </c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4"/>
      <c r="AJ40" s="15">
        <v>7</v>
      </c>
      <c r="AK40" s="16">
        <v>1.4230821071617421E-3</v>
      </c>
      <c r="AL40" s="16" t="s">
        <v>71</v>
      </c>
      <c r="AM40" s="12" t="s">
        <v>103</v>
      </c>
      <c r="AN40" s="12"/>
    </row>
    <row r="41" spans="1:40" ht="15" customHeight="1" x14ac:dyDescent="0.2">
      <c r="A41" s="12">
        <v>3</v>
      </c>
      <c r="B41" s="12">
        <v>1191</v>
      </c>
      <c r="C41" s="12" t="s">
        <v>47</v>
      </c>
      <c r="D41" s="12" t="s">
        <v>37</v>
      </c>
      <c r="E41" s="12" t="s">
        <v>38</v>
      </c>
      <c r="F41" s="12" t="s">
        <v>70</v>
      </c>
      <c r="G41" s="13" t="s">
        <v>65</v>
      </c>
      <c r="H41" s="13" t="s">
        <v>50</v>
      </c>
      <c r="I41" s="14">
        <v>72.290000000000006</v>
      </c>
      <c r="J41" s="14">
        <v>38.119999999999997</v>
      </c>
      <c r="K41" s="14">
        <v>26.42</v>
      </c>
      <c r="L41" s="14">
        <v>57.3</v>
      </c>
      <c r="M41" s="14">
        <v>5539.8620000000001</v>
      </c>
      <c r="N41" s="14">
        <v>21860.595751000001</v>
      </c>
      <c r="O41" s="12" t="s">
        <v>59</v>
      </c>
      <c r="P41" s="12"/>
      <c r="Q41" s="12"/>
      <c r="R41" s="12" t="s">
        <v>42</v>
      </c>
      <c r="S41" s="12">
        <v>5</v>
      </c>
      <c r="T41" s="12" t="s">
        <v>43</v>
      </c>
      <c r="U41" s="12"/>
      <c r="V41" s="12" t="s">
        <v>54</v>
      </c>
      <c r="W41" s="12">
        <v>1</v>
      </c>
      <c r="X41" s="12" t="s">
        <v>43</v>
      </c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4"/>
      <c r="AJ41" s="15">
        <v>6</v>
      </c>
      <c r="AK41" s="16">
        <v>1.0830594697124223E-3</v>
      </c>
      <c r="AL41" s="16"/>
      <c r="AM41" s="12" t="s">
        <v>104</v>
      </c>
      <c r="AN41" s="12"/>
    </row>
    <row r="42" spans="1:40" ht="15" customHeight="1" x14ac:dyDescent="0.2">
      <c r="A42" s="12">
        <v>4</v>
      </c>
      <c r="B42" s="12">
        <v>2292</v>
      </c>
      <c r="C42" s="12" t="s">
        <v>47</v>
      </c>
      <c r="D42" s="12" t="s">
        <v>37</v>
      </c>
      <c r="E42" s="12" t="s">
        <v>38</v>
      </c>
      <c r="F42" s="12" t="s">
        <v>70</v>
      </c>
      <c r="G42" s="13" t="s">
        <v>50</v>
      </c>
      <c r="H42" s="13" t="s">
        <v>50</v>
      </c>
      <c r="I42" s="14">
        <v>63.89</v>
      </c>
      <c r="J42" s="14">
        <v>49.76</v>
      </c>
      <c r="K42" s="14">
        <v>29.62</v>
      </c>
      <c r="L42" s="14">
        <v>75.8</v>
      </c>
      <c r="M42" s="14">
        <v>6298.9418999999998</v>
      </c>
      <c r="N42" s="14">
        <v>29117.394312</v>
      </c>
      <c r="O42" s="12" t="s">
        <v>59</v>
      </c>
      <c r="P42" s="12"/>
      <c r="Q42" s="12"/>
      <c r="R42" s="12" t="s">
        <v>42</v>
      </c>
      <c r="S42" s="12">
        <v>4</v>
      </c>
      <c r="T42" s="12" t="s">
        <v>43</v>
      </c>
      <c r="U42" s="12"/>
      <c r="V42" s="12" t="s">
        <v>68</v>
      </c>
      <c r="W42" s="12">
        <v>1</v>
      </c>
      <c r="X42" s="12" t="s">
        <v>43</v>
      </c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4"/>
      <c r="AJ42" s="15">
        <f t="shared" ref="AJ42" si="3">SUM(S42,W42,AA42,AE42)</f>
        <v>5</v>
      </c>
      <c r="AK42" s="16">
        <f t="shared" ref="AK42" si="4">AJ42/M42</f>
        <v>7.937841115822961E-4</v>
      </c>
      <c r="AL42" s="16"/>
      <c r="AM42" s="12" t="s">
        <v>103</v>
      </c>
      <c r="AN42" s="12"/>
    </row>
    <row r="43" spans="1:40" s="1" customFormat="1" ht="15" customHeight="1" x14ac:dyDescent="0.2">
      <c r="A43" s="12">
        <v>2</v>
      </c>
      <c r="B43" s="12">
        <v>494</v>
      </c>
      <c r="C43" s="12" t="s">
        <v>47</v>
      </c>
      <c r="D43" s="12" t="s">
        <v>37</v>
      </c>
      <c r="E43" s="12" t="s">
        <v>38</v>
      </c>
      <c r="F43" s="12" t="s">
        <v>39</v>
      </c>
      <c r="G43" s="13" t="s">
        <v>49</v>
      </c>
      <c r="H43" s="13" t="s">
        <v>65</v>
      </c>
      <c r="I43" s="14">
        <v>45.9</v>
      </c>
      <c r="J43" s="14">
        <v>44.6</v>
      </c>
      <c r="K43" s="14">
        <v>33.1</v>
      </c>
      <c r="L43" s="14">
        <v>59.81</v>
      </c>
      <c r="M43" s="14">
        <v>4871.6652000000004</v>
      </c>
      <c r="N43" s="14">
        <v>22904.59722</v>
      </c>
      <c r="O43" s="12" t="s">
        <v>41</v>
      </c>
      <c r="P43" s="12"/>
      <c r="Q43" s="12" t="s">
        <v>61</v>
      </c>
      <c r="R43" s="12"/>
      <c r="S43" s="12">
        <v>4</v>
      </c>
      <c r="T43" s="12" t="s">
        <v>55</v>
      </c>
      <c r="U43" s="12" t="s">
        <v>56</v>
      </c>
      <c r="V43" s="12" t="s">
        <v>54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4">
        <v>73.900000000000006</v>
      </c>
      <c r="AJ43" s="15">
        <v>4</v>
      </c>
      <c r="AK43" s="16">
        <v>8.2107448598889754E-4</v>
      </c>
      <c r="AL43" s="16" t="s">
        <v>87</v>
      </c>
      <c r="AM43" s="12" t="s">
        <v>101</v>
      </c>
      <c r="AN43" s="12" t="s">
        <v>58</v>
      </c>
    </row>
    <row r="44" spans="1:40" ht="15" customHeight="1" x14ac:dyDescent="0.2">
      <c r="A44" s="12">
        <v>3</v>
      </c>
      <c r="B44" s="12">
        <v>645</v>
      </c>
      <c r="C44" s="12" t="s">
        <v>47</v>
      </c>
      <c r="D44" s="12" t="s">
        <v>37</v>
      </c>
      <c r="E44" s="12" t="s">
        <v>38</v>
      </c>
      <c r="F44" s="12" t="s">
        <v>39</v>
      </c>
      <c r="G44" s="13" t="s">
        <v>40</v>
      </c>
      <c r="H44" s="13">
        <v>0</v>
      </c>
      <c r="I44" s="14">
        <v>44.7</v>
      </c>
      <c r="J44" s="14">
        <v>43.9</v>
      </c>
      <c r="K44" s="14">
        <v>25.8</v>
      </c>
      <c r="L44" s="14">
        <v>45.6</v>
      </c>
      <c r="M44" s="14">
        <v>4195.3208999999997</v>
      </c>
      <c r="N44" s="14">
        <v>18002.882363000001</v>
      </c>
      <c r="O44" s="12" t="s">
        <v>41</v>
      </c>
      <c r="P44" s="12"/>
      <c r="Q44" s="12" t="s">
        <v>61</v>
      </c>
      <c r="R44" s="12"/>
      <c r="S44" s="12">
        <v>3</v>
      </c>
      <c r="T44" s="12" t="s">
        <v>55</v>
      </c>
      <c r="U44" s="12" t="s">
        <v>56</v>
      </c>
      <c r="V44" s="12" t="s">
        <v>54</v>
      </c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4"/>
      <c r="AJ44" s="15">
        <v>3</v>
      </c>
      <c r="AK44" s="16">
        <v>7.1508236711999794E-4</v>
      </c>
      <c r="AL44" s="16" t="s">
        <v>87</v>
      </c>
      <c r="AM44" s="12" t="s">
        <v>101</v>
      </c>
      <c r="AN44" s="12" t="s">
        <v>58</v>
      </c>
    </row>
    <row r="45" spans="1:40" ht="15" customHeight="1" x14ac:dyDescent="0.2">
      <c r="A45" s="12">
        <v>3</v>
      </c>
      <c r="B45" s="12">
        <v>1547</v>
      </c>
      <c r="C45" s="12" t="s">
        <v>77</v>
      </c>
      <c r="D45" s="12" t="s">
        <v>78</v>
      </c>
      <c r="E45" s="12" t="s">
        <v>38</v>
      </c>
      <c r="F45" s="12" t="s">
        <v>39</v>
      </c>
      <c r="G45" s="13" t="s">
        <v>50</v>
      </c>
      <c r="H45" s="13">
        <v>0</v>
      </c>
      <c r="I45" s="14">
        <v>227</v>
      </c>
      <c r="J45" s="14">
        <v>222</v>
      </c>
      <c r="K45" s="14">
        <v>124</v>
      </c>
      <c r="L45" s="14">
        <v>7000</v>
      </c>
      <c r="M45" s="14">
        <v>129266.3713</v>
      </c>
      <c r="N45" s="14">
        <v>2743351.596649</v>
      </c>
      <c r="O45" s="12" t="s">
        <v>51</v>
      </c>
      <c r="P45" s="12"/>
      <c r="Q45" s="12"/>
      <c r="R45" s="12" t="s">
        <v>42</v>
      </c>
      <c r="S45" s="12">
        <v>5</v>
      </c>
      <c r="T45" s="12" t="s">
        <v>43</v>
      </c>
      <c r="U45" s="12"/>
      <c r="V45" s="12" t="s">
        <v>68</v>
      </c>
      <c r="W45" s="12">
        <v>2</v>
      </c>
      <c r="X45" s="12" t="s">
        <v>43</v>
      </c>
      <c r="Y45" s="12"/>
      <c r="Z45" s="12" t="s">
        <v>62</v>
      </c>
      <c r="AA45" s="12">
        <v>3</v>
      </c>
      <c r="AB45" s="12" t="s">
        <v>55</v>
      </c>
      <c r="AC45" s="12" t="s">
        <v>56</v>
      </c>
      <c r="AD45" s="12" t="s">
        <v>54</v>
      </c>
      <c r="AE45" s="12"/>
      <c r="AF45" s="12"/>
      <c r="AG45" s="12"/>
      <c r="AH45" s="12"/>
      <c r="AI45" s="14">
        <v>57</v>
      </c>
      <c r="AJ45" s="15">
        <v>10</v>
      </c>
      <c r="AK45" s="16">
        <v>7.7359640403242293E-5</v>
      </c>
      <c r="AL45" s="16" t="s">
        <v>63</v>
      </c>
      <c r="AM45" s="12" t="s">
        <v>99</v>
      </c>
      <c r="AN45" s="12" t="s">
        <v>46</v>
      </c>
    </row>
    <row r="46" spans="1:40" ht="15" customHeight="1" x14ac:dyDescent="0.2">
      <c r="A46" s="12">
        <v>3</v>
      </c>
      <c r="B46" s="12">
        <v>1748</v>
      </c>
      <c r="C46" s="12" t="s">
        <v>77</v>
      </c>
      <c r="D46" s="12" t="s">
        <v>78</v>
      </c>
      <c r="E46" s="12" t="s">
        <v>38</v>
      </c>
      <c r="F46" s="12" t="s">
        <v>39</v>
      </c>
      <c r="G46" s="13" t="s">
        <v>40</v>
      </c>
      <c r="H46" s="13">
        <v>0</v>
      </c>
      <c r="I46" s="14">
        <v>247</v>
      </c>
      <c r="J46" s="14">
        <v>204</v>
      </c>
      <c r="K46" s="14">
        <v>135</v>
      </c>
      <c r="L46" s="14">
        <v>5680</v>
      </c>
      <c r="M46" s="14">
        <v>101775.2856</v>
      </c>
      <c r="N46" s="14">
        <v>2210977.9521369999</v>
      </c>
      <c r="O46" s="12" t="s">
        <v>59</v>
      </c>
      <c r="P46" s="12"/>
      <c r="Q46" s="12"/>
      <c r="R46" s="12" t="s">
        <v>42</v>
      </c>
      <c r="S46" s="12">
        <v>4</v>
      </c>
      <c r="T46" s="12" t="s">
        <v>43</v>
      </c>
      <c r="U46" s="12"/>
      <c r="V46" s="12" t="s">
        <v>54</v>
      </c>
      <c r="W46" s="12">
        <v>3</v>
      </c>
      <c r="X46" s="12" t="s">
        <v>43</v>
      </c>
      <c r="Y46" s="12"/>
      <c r="Z46" s="12" t="s">
        <v>54</v>
      </c>
      <c r="AA46" s="12"/>
      <c r="AB46" s="12"/>
      <c r="AC46" s="12"/>
      <c r="AD46" s="12"/>
      <c r="AE46" s="12"/>
      <c r="AF46" s="12"/>
      <c r="AG46" s="12"/>
      <c r="AH46" s="12"/>
      <c r="AI46" s="14"/>
      <c r="AJ46" s="15">
        <v>7</v>
      </c>
      <c r="AK46" s="16">
        <v>6.8778976730279987E-5</v>
      </c>
      <c r="AL46" s="16" t="s">
        <v>63</v>
      </c>
      <c r="AM46" s="12" t="s">
        <v>99</v>
      </c>
      <c r="AN46" s="12" t="s">
        <v>46</v>
      </c>
    </row>
    <row r="47" spans="1:40" ht="15" customHeight="1" x14ac:dyDescent="0.2">
      <c r="A47" s="12">
        <v>4</v>
      </c>
      <c r="B47" s="12">
        <v>1788</v>
      </c>
      <c r="C47" s="12" t="s">
        <v>77</v>
      </c>
      <c r="D47" s="12" t="s">
        <v>78</v>
      </c>
      <c r="E47" s="12" t="s">
        <v>38</v>
      </c>
      <c r="F47" s="12" t="s">
        <v>39</v>
      </c>
      <c r="G47" s="13" t="s">
        <v>88</v>
      </c>
      <c r="H47" s="13">
        <v>0</v>
      </c>
      <c r="I47" s="14">
        <v>201.33</v>
      </c>
      <c r="J47" s="14">
        <v>156.03</v>
      </c>
      <c r="K47" s="14">
        <v>120.3</v>
      </c>
      <c r="L47" s="14">
        <v>4594.3999999999996</v>
      </c>
      <c r="M47" s="14">
        <v>86321.454100000003</v>
      </c>
      <c r="N47" s="14">
        <v>1986634.0288809999</v>
      </c>
      <c r="O47" s="12" t="s">
        <v>59</v>
      </c>
      <c r="P47" s="12"/>
      <c r="Q47" s="12" t="s">
        <v>53</v>
      </c>
      <c r="R47" s="12" t="s">
        <v>52</v>
      </c>
      <c r="S47" s="12">
        <v>5</v>
      </c>
      <c r="T47" s="12" t="s">
        <v>55</v>
      </c>
      <c r="U47" s="12" t="s">
        <v>56</v>
      </c>
      <c r="V47" s="12" t="s">
        <v>68</v>
      </c>
      <c r="W47" s="12">
        <v>1</v>
      </c>
      <c r="X47" s="12" t="s">
        <v>55</v>
      </c>
      <c r="Y47" s="12" t="s">
        <v>75</v>
      </c>
      <c r="Z47" s="12"/>
      <c r="AA47" s="12"/>
      <c r="AB47" s="12"/>
      <c r="AC47" s="12"/>
      <c r="AD47" s="12"/>
      <c r="AE47" s="12"/>
      <c r="AF47" s="12"/>
      <c r="AG47" s="12"/>
      <c r="AH47" s="12"/>
      <c r="AI47" s="14">
        <v>112</v>
      </c>
      <c r="AJ47" s="15">
        <v>6</v>
      </c>
      <c r="AK47" s="16">
        <v>6.9507633560588958E-5</v>
      </c>
      <c r="AL47" s="16" t="s">
        <v>57</v>
      </c>
      <c r="AM47" s="16" t="s">
        <v>57</v>
      </c>
      <c r="AN47" s="12" t="s">
        <v>58</v>
      </c>
    </row>
    <row r="48" spans="1:40" ht="15" customHeight="1" x14ac:dyDescent="0.2">
      <c r="A48" s="12">
        <v>4</v>
      </c>
      <c r="B48" s="12">
        <v>1916</v>
      </c>
      <c r="C48" s="12" t="s">
        <v>77</v>
      </c>
      <c r="D48" s="12" t="s">
        <v>78</v>
      </c>
      <c r="E48" s="12" t="s">
        <v>38</v>
      </c>
      <c r="F48" s="12" t="s">
        <v>39</v>
      </c>
      <c r="G48" s="13" t="s">
        <v>49</v>
      </c>
      <c r="H48" s="13">
        <v>0</v>
      </c>
      <c r="I48" s="14">
        <v>186.46</v>
      </c>
      <c r="J48" s="14">
        <v>165.13</v>
      </c>
      <c r="K48" s="14">
        <v>137.76</v>
      </c>
      <c r="L48" s="14">
        <v>4272.22</v>
      </c>
      <c r="M48" s="14">
        <v>79828.231400000004</v>
      </c>
      <c r="N48" s="14">
        <v>1643041.4273049999</v>
      </c>
      <c r="O48" s="12" t="s">
        <v>59</v>
      </c>
      <c r="P48" s="12"/>
      <c r="Q48" s="12"/>
      <c r="R48" s="12" t="s">
        <v>42</v>
      </c>
      <c r="S48" s="12">
        <v>7</v>
      </c>
      <c r="T48" s="12" t="s">
        <v>43</v>
      </c>
      <c r="U48" s="12"/>
      <c r="V48" s="12" t="s">
        <v>54</v>
      </c>
      <c r="W48" s="12">
        <v>5</v>
      </c>
      <c r="X48" s="12" t="s">
        <v>43</v>
      </c>
      <c r="Y48" s="12"/>
      <c r="Z48" s="12" t="s">
        <v>54</v>
      </c>
      <c r="AA48" s="12"/>
      <c r="AB48" s="12"/>
      <c r="AC48" s="12"/>
      <c r="AD48" s="12"/>
      <c r="AE48" s="12"/>
      <c r="AF48" s="12"/>
      <c r="AG48" s="12"/>
      <c r="AH48" s="12"/>
      <c r="AI48" s="14"/>
      <c r="AJ48" s="15">
        <v>12</v>
      </c>
      <c r="AK48" s="16">
        <v>1.5032275912353483E-4</v>
      </c>
      <c r="AL48" s="16" t="s">
        <v>57</v>
      </c>
      <c r="AM48" s="16" t="s">
        <v>57</v>
      </c>
      <c r="AN48" s="12" t="s">
        <v>46</v>
      </c>
    </row>
    <row r="49" spans="1:40" ht="15" customHeight="1" x14ac:dyDescent="0.2">
      <c r="A49" s="12">
        <v>4</v>
      </c>
      <c r="B49" s="12">
        <v>2158</v>
      </c>
      <c r="C49" s="12" t="s">
        <v>77</v>
      </c>
      <c r="D49" s="12" t="s">
        <v>83</v>
      </c>
      <c r="E49" s="12" t="s">
        <v>38</v>
      </c>
      <c r="F49" s="12" t="s">
        <v>48</v>
      </c>
      <c r="G49" s="13" t="s">
        <v>49</v>
      </c>
      <c r="H49" s="13" t="s">
        <v>65</v>
      </c>
      <c r="I49" s="14">
        <v>133.1</v>
      </c>
      <c r="J49" s="14">
        <v>121.88</v>
      </c>
      <c r="K49" s="14">
        <v>68.52</v>
      </c>
      <c r="L49" s="14">
        <v>1543.16</v>
      </c>
      <c r="M49" s="14">
        <v>42454.647599999997</v>
      </c>
      <c r="N49" s="14">
        <v>605016.75111700001</v>
      </c>
      <c r="O49" s="12" t="s">
        <v>59</v>
      </c>
      <c r="P49" s="12"/>
      <c r="Q49" s="12"/>
      <c r="R49" s="12" t="s">
        <v>42</v>
      </c>
      <c r="S49" s="12">
        <v>14</v>
      </c>
      <c r="T49" s="12" t="s">
        <v>43</v>
      </c>
      <c r="U49" s="12"/>
      <c r="V49" s="12" t="s">
        <v>44</v>
      </c>
      <c r="W49" s="12">
        <v>4</v>
      </c>
      <c r="X49" s="12" t="s">
        <v>43</v>
      </c>
      <c r="Y49" s="12"/>
      <c r="Z49" s="12" t="s">
        <v>62</v>
      </c>
      <c r="AA49" s="12"/>
      <c r="AB49" s="12"/>
      <c r="AC49" s="12"/>
      <c r="AD49" s="12"/>
      <c r="AE49" s="12"/>
      <c r="AF49" s="12"/>
      <c r="AG49" s="12"/>
      <c r="AH49" s="12"/>
      <c r="AI49" s="14">
        <v>74.099999999999994</v>
      </c>
      <c r="AJ49" s="15">
        <v>18</v>
      </c>
      <c r="AK49" s="16">
        <v>4.2398184928050143E-4</v>
      </c>
      <c r="AL49" s="16" t="s">
        <v>63</v>
      </c>
      <c r="AM49" s="12" t="s">
        <v>99</v>
      </c>
      <c r="AN49" s="12" t="s">
        <v>46</v>
      </c>
    </row>
    <row r="50" spans="1:40" ht="15" customHeight="1" x14ac:dyDescent="0.2">
      <c r="A50" s="12">
        <v>4</v>
      </c>
      <c r="B50" s="12">
        <v>2389</v>
      </c>
      <c r="C50" s="12" t="s">
        <v>77</v>
      </c>
      <c r="D50" s="12" t="s">
        <v>83</v>
      </c>
      <c r="E50" s="12" t="s">
        <v>38</v>
      </c>
      <c r="F50" s="12" t="s">
        <v>39</v>
      </c>
      <c r="G50" s="13" t="s">
        <v>65</v>
      </c>
      <c r="H50" s="13" t="s">
        <v>50</v>
      </c>
      <c r="I50" s="14">
        <v>97.88</v>
      </c>
      <c r="J50" s="14">
        <v>71.66</v>
      </c>
      <c r="K50" s="14">
        <v>74.510000000000005</v>
      </c>
      <c r="L50" s="14">
        <v>493.7</v>
      </c>
      <c r="M50" s="14">
        <v>20248.248100000001</v>
      </c>
      <c r="N50" s="14">
        <v>210000.35621999999</v>
      </c>
      <c r="O50" s="12" t="s">
        <v>59</v>
      </c>
      <c r="P50" s="12"/>
      <c r="Q50" s="12"/>
      <c r="R50" s="12" t="s">
        <v>42</v>
      </c>
      <c r="S50" s="12">
        <v>11</v>
      </c>
      <c r="T50" s="12" t="s">
        <v>43</v>
      </c>
      <c r="U50" s="12"/>
      <c r="V50" s="12" t="s">
        <v>72</v>
      </c>
      <c r="W50" s="12">
        <v>5</v>
      </c>
      <c r="X50" s="12" t="s">
        <v>43</v>
      </c>
      <c r="Y50" s="12"/>
      <c r="Z50" s="12" t="s">
        <v>54</v>
      </c>
      <c r="AA50" s="12"/>
      <c r="AB50" s="12"/>
      <c r="AC50" s="12"/>
      <c r="AD50" s="12"/>
      <c r="AE50" s="12"/>
      <c r="AF50" s="12"/>
      <c r="AG50" s="12"/>
      <c r="AH50" s="12"/>
      <c r="AI50" s="14"/>
      <c r="AJ50" s="15">
        <v>16</v>
      </c>
      <c r="AK50" s="16">
        <v>7.9019181911347679E-4</v>
      </c>
      <c r="AL50" s="16" t="s">
        <v>57</v>
      </c>
      <c r="AM50" s="16" t="s">
        <v>57</v>
      </c>
      <c r="AN50" s="12" t="s">
        <v>46</v>
      </c>
    </row>
    <row r="51" spans="1:40" ht="15" customHeight="1" x14ac:dyDescent="0.2">
      <c r="A51" s="12">
        <v>4</v>
      </c>
      <c r="B51" s="12">
        <v>3513</v>
      </c>
      <c r="C51" s="12" t="s">
        <v>77</v>
      </c>
      <c r="D51" s="12" t="s">
        <v>78</v>
      </c>
      <c r="E51" s="12" t="s">
        <v>38</v>
      </c>
      <c r="F51" s="12" t="s">
        <v>39</v>
      </c>
      <c r="G51" s="13" t="s">
        <v>65</v>
      </c>
      <c r="H51" s="13" t="s">
        <v>50</v>
      </c>
      <c r="I51" s="14">
        <v>149.59</v>
      </c>
      <c r="J51" s="14">
        <v>120.5</v>
      </c>
      <c r="K51" s="14">
        <v>103.81</v>
      </c>
      <c r="L51" s="14">
        <v>2290.64</v>
      </c>
      <c r="M51" s="14">
        <v>52818.989300000001</v>
      </c>
      <c r="N51" s="14">
        <v>892252.716716</v>
      </c>
      <c r="O51" s="12" t="s">
        <v>57</v>
      </c>
      <c r="P51" s="12" t="s">
        <v>89</v>
      </c>
      <c r="Q51" s="12" t="s">
        <v>53</v>
      </c>
      <c r="R51" s="12" t="s">
        <v>52</v>
      </c>
      <c r="S51" s="12">
        <v>13</v>
      </c>
      <c r="T51" s="12" t="s">
        <v>55</v>
      </c>
      <c r="U51" s="12" t="s">
        <v>56</v>
      </c>
      <c r="V51" s="12" t="s">
        <v>54</v>
      </c>
      <c r="W51" s="12">
        <v>3</v>
      </c>
      <c r="X51" s="12" t="s">
        <v>55</v>
      </c>
      <c r="Y51" s="12" t="s">
        <v>56</v>
      </c>
      <c r="Z51" s="12" t="s">
        <v>54</v>
      </c>
      <c r="AA51" s="12">
        <v>3</v>
      </c>
      <c r="AB51" s="12" t="s">
        <v>43</v>
      </c>
      <c r="AC51" s="12"/>
      <c r="AD51" s="12" t="s">
        <v>54</v>
      </c>
      <c r="AE51" s="12">
        <v>2</v>
      </c>
      <c r="AF51" s="12" t="s">
        <v>43</v>
      </c>
      <c r="AG51" s="12"/>
      <c r="AH51" s="12" t="s">
        <v>54</v>
      </c>
      <c r="AI51" s="14"/>
      <c r="AJ51" s="15">
        <v>21</v>
      </c>
      <c r="AK51" s="16">
        <v>3.9758428319642229E-4</v>
      </c>
      <c r="AL51" s="16" t="s">
        <v>57</v>
      </c>
      <c r="AM51" s="16" t="s">
        <v>57</v>
      </c>
      <c r="AN51" s="12" t="s">
        <v>58</v>
      </c>
    </row>
    <row r="52" spans="1:40" ht="15" customHeight="1" x14ac:dyDescent="0.2">
      <c r="A52" s="12">
        <v>4</v>
      </c>
      <c r="B52" s="12">
        <v>3952</v>
      </c>
      <c r="C52" s="12" t="s">
        <v>77</v>
      </c>
      <c r="D52" s="12" t="s">
        <v>83</v>
      </c>
      <c r="E52" s="12" t="s">
        <v>38</v>
      </c>
      <c r="F52" s="12" t="s">
        <v>39</v>
      </c>
      <c r="G52" s="13" t="s">
        <v>88</v>
      </c>
      <c r="H52" s="13">
        <v>0</v>
      </c>
      <c r="I52" s="14">
        <v>128.47999999999999</v>
      </c>
      <c r="J52" s="14">
        <v>89.61</v>
      </c>
      <c r="K52" s="14">
        <v>76.38</v>
      </c>
      <c r="L52" s="14">
        <v>1144.54</v>
      </c>
      <c r="M52" s="14">
        <v>33242.533000000003</v>
      </c>
      <c r="N52" s="14">
        <v>482251.54821500002</v>
      </c>
      <c r="O52" s="12" t="s">
        <v>59</v>
      </c>
      <c r="P52" s="12"/>
      <c r="Q52" s="12"/>
      <c r="R52" s="12" t="s">
        <v>42</v>
      </c>
      <c r="S52" s="12">
        <v>2</v>
      </c>
      <c r="T52" s="12" t="s">
        <v>43</v>
      </c>
      <c r="U52" s="12"/>
      <c r="V52" s="12" t="s">
        <v>54</v>
      </c>
      <c r="W52" s="12">
        <v>1</v>
      </c>
      <c r="X52" s="12" t="s">
        <v>43</v>
      </c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4">
        <v>83.45</v>
      </c>
      <c r="AJ52" s="15">
        <v>3</v>
      </c>
      <c r="AK52" s="16">
        <v>9.02458305448625E-5</v>
      </c>
      <c r="AL52" s="16" t="s">
        <v>63</v>
      </c>
      <c r="AM52" s="12" t="s">
        <v>99</v>
      </c>
      <c r="AN52" s="12" t="s">
        <v>46</v>
      </c>
    </row>
    <row r="53" spans="1:40" ht="15" x14ac:dyDescent="0.2">
      <c r="A53" s="12">
        <v>3</v>
      </c>
      <c r="B53" s="12">
        <v>636</v>
      </c>
      <c r="C53" s="12" t="s">
        <v>90</v>
      </c>
      <c r="D53" s="12" t="s">
        <v>37</v>
      </c>
      <c r="E53" s="12" t="s">
        <v>98</v>
      </c>
      <c r="F53" s="12" t="s">
        <v>92</v>
      </c>
      <c r="G53" s="13" t="s">
        <v>50</v>
      </c>
      <c r="H53" s="13">
        <v>0</v>
      </c>
      <c r="I53" s="14">
        <v>127.8</v>
      </c>
      <c r="J53" s="14">
        <v>76.8</v>
      </c>
      <c r="K53" s="14">
        <v>41.4</v>
      </c>
      <c r="L53" s="14">
        <v>371.25</v>
      </c>
      <c r="M53" s="14">
        <v>18909.271400000001</v>
      </c>
      <c r="N53" s="14">
        <v>145002.78206999999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>
        <v>9</v>
      </c>
      <c r="AK53" s="12">
        <v>4.7595699536048754E-4</v>
      </c>
      <c r="AL53" s="12" t="s">
        <v>91</v>
      </c>
      <c r="AM53" s="12" t="s">
        <v>107</v>
      </c>
      <c r="AN53" s="12"/>
    </row>
    <row r="54" spans="1:40" ht="15" x14ac:dyDescent="0.2">
      <c r="A54" s="12">
        <v>3</v>
      </c>
      <c r="B54" s="12">
        <v>1318</v>
      </c>
      <c r="C54" s="12" t="s">
        <v>90</v>
      </c>
      <c r="D54" s="12" t="s">
        <v>78</v>
      </c>
      <c r="E54" s="12" t="s">
        <v>98</v>
      </c>
      <c r="F54" s="12" t="s">
        <v>93</v>
      </c>
      <c r="G54" s="13" t="s">
        <v>49</v>
      </c>
      <c r="H54" s="13">
        <v>0</v>
      </c>
      <c r="I54" s="14">
        <v>195.42</v>
      </c>
      <c r="J54" s="14">
        <v>119.49</v>
      </c>
      <c r="K54" s="14">
        <v>74.69</v>
      </c>
      <c r="L54" s="14">
        <v>1664.52</v>
      </c>
      <c r="M54" s="14">
        <v>48417.1224</v>
      </c>
      <c r="N54" s="14">
        <v>653257.38282499998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>
        <v>9</v>
      </c>
      <c r="AK54" s="12">
        <v>1.8588465307058398E-4</v>
      </c>
      <c r="AL54" s="12" t="s">
        <v>91</v>
      </c>
      <c r="AM54" s="12" t="s">
        <v>107</v>
      </c>
      <c r="AN54" s="12"/>
    </row>
    <row r="55" spans="1:40" ht="15" x14ac:dyDescent="0.2">
      <c r="A55" s="12">
        <v>4</v>
      </c>
      <c r="B55" s="12">
        <v>3341</v>
      </c>
      <c r="C55" s="12" t="s">
        <v>77</v>
      </c>
      <c r="D55" s="12" t="s">
        <v>37</v>
      </c>
      <c r="E55" s="12" t="s">
        <v>98</v>
      </c>
      <c r="F55" s="12" t="s">
        <v>64</v>
      </c>
      <c r="G55" s="12" t="s">
        <v>50</v>
      </c>
      <c r="H55" s="13">
        <v>0</v>
      </c>
      <c r="I55" s="12">
        <v>162.03</v>
      </c>
      <c r="J55" s="12">
        <v>101.03</v>
      </c>
      <c r="K55" s="12">
        <v>95.4</v>
      </c>
      <c r="L55" s="12">
        <v>1655.56</v>
      </c>
      <c r="M55" s="12">
        <v>46053.462599999999</v>
      </c>
      <c r="N55" s="12">
        <v>654588.06113599997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>
        <v>16</v>
      </c>
      <c r="AK55" s="12">
        <v>3.4742230218320219E-4</v>
      </c>
      <c r="AL55" s="12" t="s">
        <v>94</v>
      </c>
      <c r="AM55" s="12" t="s">
        <v>107</v>
      </c>
      <c r="AN55" s="12"/>
    </row>
    <row r="56" spans="1:40" ht="15" x14ac:dyDescent="0.2">
      <c r="A56" s="12">
        <v>4</v>
      </c>
      <c r="B56" s="12">
        <v>4858</v>
      </c>
      <c r="C56" s="12" t="s">
        <v>77</v>
      </c>
      <c r="D56" s="12" t="s">
        <v>37</v>
      </c>
      <c r="E56" s="12" t="s">
        <v>98</v>
      </c>
      <c r="F56" s="12" t="s">
        <v>39</v>
      </c>
      <c r="G56" s="12" t="s">
        <v>49</v>
      </c>
      <c r="H56" s="13">
        <v>0</v>
      </c>
      <c r="I56" s="12">
        <v>199.8</v>
      </c>
      <c r="J56" s="12">
        <v>112.35</v>
      </c>
      <c r="K56" s="12">
        <v>61.15</v>
      </c>
      <c r="L56" s="12">
        <v>1426.53</v>
      </c>
      <c r="M56" s="12">
        <v>43503.270499999999</v>
      </c>
      <c r="N56" s="12">
        <v>554428.00165300001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>
        <v>27</v>
      </c>
      <c r="AK56" s="12">
        <v>6.2064299280671328E-4</v>
      </c>
      <c r="AL56" s="12" t="s">
        <v>95</v>
      </c>
      <c r="AM56" s="12" t="s">
        <v>108</v>
      </c>
      <c r="AN56" s="12"/>
    </row>
  </sheetData>
  <autoFilter ref="A1:AN56" xr:uid="{DE5DFB0E-6E95-45BB-8590-9972EF5A6973}"/>
  <phoneticPr fontId="1" type="noConversion"/>
  <dataValidations count="10">
    <dataValidation allowBlank="1" showInputMessage="1" sqref="D1:E2 G1:AN2 AM6 AM8 AM32 AM39 AM45:AM46 AM49 AM52" xr:uid="{A25420EA-4FF9-461D-BE2E-2B672F7B595A}"/>
    <dataValidation type="list" allowBlank="1" showInputMessage="1" showErrorMessage="1" sqref="H55:H56 G2:H54" xr:uid="{D9F7EF43-9C18-4379-B42D-01D9721996CA}">
      <formula1>"0%,1-20%,20-40%,40-60%,60-80%,80-99%,100%"</formula1>
    </dataValidation>
    <dataValidation type="list" allowBlank="1" showInputMessage="1" showErrorMessage="1" sqref="D2:D54" xr:uid="{6CED81B2-A2B4-48E2-A040-AF1A7A4CF8BF}">
      <formula1>"unwthrd,sl_wthrd,md_wthrd,hi_wthrd"</formula1>
    </dataValidation>
    <dataValidation type="list" allowBlank="1" showInputMessage="1" showErrorMessage="1" sqref="R2:R52" xr:uid="{C9CF836F-A16E-4169-98B2-9278DD92059F}">
      <formula1>"Opposite,Adjacent,Mixed,Peripheral"</formula1>
    </dataValidation>
    <dataValidation type="list" allowBlank="1" showInputMessage="1" showErrorMessage="1" sqref="P2:P52" xr:uid="{A57D1B92-2D2F-47BE-A3B7-0A1336001EC5}">
      <formula1>"Opposite,Adjacent,Mixed,Polyhedral"</formula1>
    </dataValidation>
    <dataValidation type="list" allowBlank="1" showInputMessage="1" showErrorMessage="1" sqref="Q2:Q52" xr:uid="{00EF1782-E75D-4433-A688-A7CFC613270C}">
      <formula1>"Single,Double,Triple,Multiple"</formula1>
    </dataValidation>
    <dataValidation type="list" allowBlank="1" showInputMessage="1" showErrorMessage="1" sqref="O2:O52" xr:uid="{60AF475D-A4BD-4609-80BA-7DA7030B0DC0}">
      <formula1>"Unifacial,Bifacial,Trifacial,Multifacial"</formula1>
    </dataValidation>
    <dataValidation type="list" allowBlank="1" showInputMessage="1" showErrorMessage="1" sqref="AH2:AH52 Z2:Z52 AD2:AD52 V2:V52" xr:uid="{8E044E3C-ABF7-42D2-AD3E-5E2C4EC8BEEB}">
      <formula1>"Unidirection,Opposite_bidirection,Orthogonal_bidirection,Orthogonal_multidirection,Centripetal_multidirection"</formula1>
    </dataValidation>
    <dataValidation type="list" allowBlank="1" showInputMessage="1" showErrorMessage="1" sqref="Y2:Y52 AG2:AG52 AC2:AC52 U2:U52" xr:uid="{9976E293-E5BD-4F14-AEEB-727149E583AF}">
      <formula1>"Short,Long"</formula1>
    </dataValidation>
    <dataValidation type="list" allowBlank="1" showInputMessage="1" showErrorMessage="1" sqref="AF2:AF52 AB2:AB52 T2:T52 X2:X52" xr:uid="{EEF293A4-A62C-4565-84C2-0E5FC95EF5EA}">
      <formula1>"Narrow,Wide"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Peiyuan XIAO</dc:creator>
  <cp:lastModifiedBy>Peiyuan XIAO</cp:lastModifiedBy>
  <dcterms:created xsi:type="dcterms:W3CDTF">2026-03-26T00:16:03Z</dcterms:created>
  <dcterms:modified xsi:type="dcterms:W3CDTF">2026-03-28T08:13:42Z</dcterms:modified>
</cp:coreProperties>
</file>